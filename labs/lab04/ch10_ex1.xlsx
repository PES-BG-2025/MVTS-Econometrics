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HRH\Desktop\"/>
    </mc:Choice>
  </mc:AlternateContent>
  <xr:revisionPtr revIDLastSave="0" documentId="8_{6F8243FE-4705-4008-A373-0886A8EE4425}" xr6:coauthVersionLast="36" xr6:coauthVersionMax="36" xr10:uidLastSave="{00000000-0000-0000-0000-000000000000}"/>
  <bookViews>
    <workbookView xWindow="0" yWindow="0" windowWidth="28800" windowHeight="12105" activeTab="1" xr2:uid="{921CB13F-9C71-45F3-BF03-29CF7EE37970}"/>
  </bookViews>
  <sheets>
    <sheet name="Raw 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N21" i="1"/>
  <c r="I22" i="1"/>
  <c r="J22" i="1"/>
  <c r="K22" i="1"/>
  <c r="L22" i="1"/>
  <c r="M22" i="1"/>
  <c r="I23" i="1"/>
  <c r="J23" i="1"/>
  <c r="K23" i="1"/>
  <c r="L23" i="1"/>
  <c r="M23" i="1"/>
  <c r="N23" i="1"/>
  <c r="I24" i="1"/>
  <c r="J24" i="1"/>
  <c r="K24" i="1"/>
  <c r="L24" i="1"/>
  <c r="M24" i="1"/>
  <c r="N24" i="1"/>
  <c r="I25" i="1"/>
  <c r="J25" i="1"/>
  <c r="K25" i="1"/>
  <c r="L25" i="1"/>
  <c r="M25" i="1"/>
  <c r="N25" i="1"/>
  <c r="I26" i="1"/>
  <c r="J26" i="1"/>
  <c r="K26" i="1"/>
  <c r="L26" i="1"/>
  <c r="M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N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N41" i="1"/>
  <c r="I42" i="1"/>
  <c r="J42" i="1"/>
  <c r="K42" i="1"/>
  <c r="L42" i="1"/>
  <c r="M42" i="1"/>
  <c r="I43" i="1"/>
  <c r="J43" i="1"/>
  <c r="K43" i="1"/>
  <c r="L43" i="1"/>
  <c r="M43" i="1"/>
  <c r="N43" i="1"/>
  <c r="I44" i="1"/>
  <c r="J44" i="1"/>
  <c r="K44" i="1"/>
  <c r="L44" i="1"/>
  <c r="M44" i="1"/>
  <c r="N44" i="1"/>
  <c r="I45" i="1"/>
  <c r="J45" i="1"/>
  <c r="K45" i="1"/>
  <c r="L45" i="1"/>
  <c r="M45" i="1"/>
  <c r="N45" i="1"/>
  <c r="I46" i="1"/>
  <c r="J46" i="1"/>
  <c r="K46" i="1"/>
  <c r="L46" i="1"/>
  <c r="M46" i="1"/>
  <c r="I47" i="1"/>
  <c r="J47" i="1"/>
  <c r="K47" i="1"/>
  <c r="L47" i="1"/>
  <c r="M47" i="1"/>
  <c r="N47" i="1"/>
  <c r="I48" i="1"/>
  <c r="J48" i="1"/>
  <c r="K48" i="1"/>
  <c r="L48" i="1"/>
  <c r="M48" i="1"/>
  <c r="N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N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N61" i="1"/>
  <c r="I62" i="1"/>
  <c r="J62" i="1"/>
  <c r="K62" i="1"/>
  <c r="L62" i="1"/>
  <c r="M62" i="1"/>
  <c r="I63" i="1"/>
  <c r="J63" i="1"/>
  <c r="K63" i="1"/>
  <c r="L63" i="1"/>
  <c r="M63" i="1"/>
  <c r="N63" i="1"/>
  <c r="I64" i="1"/>
  <c r="J64" i="1"/>
  <c r="K64" i="1"/>
  <c r="L64" i="1"/>
  <c r="M64" i="1"/>
  <c r="N64" i="1"/>
  <c r="I65" i="1"/>
  <c r="J65" i="1"/>
  <c r="K65" i="1"/>
  <c r="L65" i="1"/>
  <c r="M65" i="1"/>
  <c r="N65" i="1"/>
  <c r="I66" i="1"/>
  <c r="J66" i="1"/>
  <c r="K66" i="1"/>
  <c r="L66" i="1"/>
  <c r="M66" i="1"/>
  <c r="I67" i="1"/>
  <c r="J67" i="1"/>
  <c r="K67" i="1"/>
  <c r="L67" i="1"/>
  <c r="M67" i="1"/>
  <c r="N67" i="1"/>
  <c r="I68" i="1"/>
  <c r="J68" i="1"/>
  <c r="K68" i="1"/>
  <c r="L68" i="1"/>
  <c r="M68" i="1"/>
  <c r="N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N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N81" i="1"/>
  <c r="I82" i="1"/>
  <c r="J82" i="1"/>
  <c r="K82" i="1"/>
  <c r="L82" i="1"/>
  <c r="M82" i="1"/>
  <c r="I83" i="1"/>
  <c r="J83" i="1"/>
  <c r="K83" i="1"/>
  <c r="L83" i="1"/>
  <c r="M83" i="1"/>
  <c r="N83" i="1"/>
  <c r="I84" i="1"/>
  <c r="J84" i="1"/>
  <c r="K84" i="1"/>
  <c r="L84" i="1"/>
  <c r="M84" i="1"/>
  <c r="N84" i="1"/>
  <c r="I85" i="1"/>
  <c r="J85" i="1"/>
  <c r="K85" i="1"/>
  <c r="L85" i="1"/>
  <c r="M85" i="1"/>
  <c r="N85" i="1"/>
  <c r="I86" i="1"/>
  <c r="J86" i="1"/>
  <c r="K86" i="1"/>
  <c r="L86" i="1"/>
  <c r="M86" i="1"/>
  <c r="I87" i="1"/>
  <c r="J87" i="1"/>
  <c r="K87" i="1"/>
  <c r="L87" i="1"/>
  <c r="M87" i="1"/>
  <c r="N87" i="1"/>
  <c r="I88" i="1"/>
  <c r="J88" i="1"/>
  <c r="K88" i="1"/>
  <c r="L88" i="1"/>
  <c r="M88" i="1"/>
  <c r="N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N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M14" i="1"/>
  <c r="M15" i="1"/>
  <c r="L12" i="1"/>
  <c r="L13" i="1"/>
  <c r="L14" i="1"/>
  <c r="L15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N13" i="1"/>
  <c r="M13" i="1"/>
  <c r="L11" i="1"/>
  <c r="J8" i="1"/>
  <c r="K8" i="1"/>
  <c r="I8" i="1"/>
  <c r="F10" i="1"/>
  <c r="F11" i="1"/>
  <c r="F12" i="1"/>
  <c r="F13" i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F22" i="1"/>
  <c r="N22" i="1" s="1"/>
  <c r="F23" i="1"/>
  <c r="F24" i="1"/>
  <c r="F25" i="1"/>
  <c r="F26" i="1"/>
  <c r="N26" i="1" s="1"/>
  <c r="F27" i="1"/>
  <c r="F28" i="1"/>
  <c r="F29" i="1"/>
  <c r="N29" i="1" s="1"/>
  <c r="F30" i="1"/>
  <c r="N30" i="1" s="1"/>
  <c r="F31" i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F42" i="1"/>
  <c r="N42" i="1" s="1"/>
  <c r="F43" i="1"/>
  <c r="F44" i="1"/>
  <c r="F45" i="1"/>
  <c r="F46" i="1"/>
  <c r="N46" i="1" s="1"/>
  <c r="F47" i="1"/>
  <c r="F48" i="1"/>
  <c r="F49" i="1"/>
  <c r="N49" i="1" s="1"/>
  <c r="F50" i="1"/>
  <c r="N50" i="1" s="1"/>
  <c r="F51" i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F62" i="1"/>
  <c r="N62" i="1" s="1"/>
  <c r="F63" i="1"/>
  <c r="F64" i="1"/>
  <c r="F65" i="1"/>
  <c r="F66" i="1"/>
  <c r="N66" i="1" s="1"/>
  <c r="F67" i="1"/>
  <c r="F68" i="1"/>
  <c r="F69" i="1"/>
  <c r="N69" i="1" s="1"/>
  <c r="F70" i="1"/>
  <c r="N70" i="1" s="1"/>
  <c r="F71" i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F82" i="1"/>
  <c r="N82" i="1" s="1"/>
  <c r="F83" i="1"/>
  <c r="F84" i="1"/>
  <c r="F85" i="1"/>
  <c r="F86" i="1"/>
  <c r="N86" i="1" s="1"/>
  <c r="F87" i="1"/>
  <c r="F88" i="1"/>
  <c r="F89" i="1"/>
  <c r="N89" i="1" s="1"/>
  <c r="F90" i="1"/>
  <c r="N90" i="1" s="1"/>
  <c r="F91" i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9" i="1"/>
</calcChain>
</file>

<file path=xl/sharedStrings.xml><?xml version="1.0" encoding="utf-8"?>
<sst xmlns="http://schemas.openxmlformats.org/spreadsheetml/2006/main" count="96" uniqueCount="92">
  <si>
    <t>GDP</t>
  </si>
  <si>
    <t>CONS</t>
  </si>
  <si>
    <t>INV</t>
  </si>
  <si>
    <t>P</t>
  </si>
  <si>
    <t>INF_EXP</t>
  </si>
  <si>
    <t>M</t>
  </si>
  <si>
    <t>RB</t>
  </si>
  <si>
    <t>I</t>
  </si>
  <si>
    <t>INF</t>
  </si>
  <si>
    <t>GDP_SA</t>
  </si>
  <si>
    <t>CONS_SA</t>
  </si>
  <si>
    <t>INV_SA</t>
  </si>
  <si>
    <t>RB_SA</t>
  </si>
  <si>
    <t>I_SA</t>
  </si>
  <si>
    <t>INF_SA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</si>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</sst>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333F5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BF7"/>
        <bgColor indexed="64"/>
      </patternFill>
    </fill>
  </fills>
  <borders count="9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EEBF7"/>
      </left>
      <right/>
      <top style="thin">
        <color rgb="FFDEEBF7"/>
      </top>
      <bottom style="thin">
        <color rgb="FFDEEBF7"/>
      </bottom>
      <diagonal/>
    </border>
    <border>
      <left style="thin">
        <color rgb="FFDEEBF7"/>
      </left>
      <right/>
      <top style="thin">
        <color rgb="FFDEEBF7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EEBF7"/>
      </left>
      <right style="thin">
        <color rgb="FFDEEBF7"/>
      </right>
      <top style="thin">
        <color rgb="FFDEEBF7"/>
      </top>
      <bottom style="thin">
        <color rgb="FFDEEBF7"/>
      </bottom>
      <diagonal/>
    </border>
    <border>
      <left style="thin">
        <color rgb="FFDEEBF7"/>
      </left>
      <right style="thin">
        <color rgb="FFDEEBF7"/>
      </right>
      <top style="thin">
        <color rgb="FFDEEBF7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20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4" fontId="2" fillId="4" borderId="3" xfId="1" applyNumberFormat="1" applyFont="1" applyFill="1" applyBorder="1" applyAlignment="1">
      <alignment vertical="center"/>
    </xf>
    <xf numFmtId="164" fontId="2" fillId="2" borderId="4" xfId="1" applyNumberFormat="1" applyFont="1" applyFill="1" applyBorder="1" applyAlignment="1">
      <alignment vertical="center"/>
    </xf>
    <xf numFmtId="164" fontId="2" fillId="2" borderId="5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vertical="center"/>
    </xf>
    <xf numFmtId="17" fontId="0" fillId="0" borderId="0" xfId="0" applyNumberFormat="1"/>
    <xf numFmtId="164" fontId="2" fillId="2" borderId="2" xfId="1" applyNumberFormat="1" applyFont="1" applyFill="1" applyBorder="1" applyAlignment="1">
      <alignment vertical="center"/>
    </xf>
    <xf numFmtId="164" fontId="2" fillId="2" borderId="7" xfId="1" applyNumberFormat="1" applyFont="1" applyFill="1" applyBorder="1" applyAlignment="1">
      <alignment vertical="center"/>
    </xf>
    <xf numFmtId="164" fontId="2" fillId="2" borderId="8" xfId="1" applyNumberFormat="1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vertical="center"/>
    </xf>
    <xf numFmtId="165" fontId="2" fillId="4" borderId="3" xfId="1" applyNumberFormat="1" applyFont="1" applyFill="1" applyBorder="1" applyAlignment="1">
      <alignment vertical="center"/>
    </xf>
    <xf numFmtId="165" fontId="2" fillId="2" borderId="2" xfId="1" applyNumberFormat="1" applyFont="1" applyFill="1" applyBorder="1" applyAlignment="1">
      <alignment vertical="center"/>
    </xf>
    <xf numFmtId="165" fontId="2" fillId="2" borderId="7" xfId="1" applyNumberFormat="1" applyFont="1" applyFill="1" applyBorder="1" applyAlignment="1">
      <alignment vertical="center"/>
    </xf>
    <xf numFmtId="165" fontId="2" fillId="2" borderId="8" xfId="1" applyNumberFormat="1" applyFont="1" applyFill="1" applyBorder="1" applyAlignment="1">
      <alignment vertical="center"/>
    </xf>
    <xf numFmtId="2" fontId="0" fillId="0" borderId="0" xfId="0" applyNumberFormat="1"/>
    <xf numFmtId="168" fontId="0" fillId="0" borderId="0" xfId="0" applyNumberFormat="1"/>
    <xf numFmtId="165" fontId="2" fillId="2" borderId="0" xfId="1" applyNumberFormat="1" applyFont="1" applyFill="1" applyBorder="1" applyAlignment="1">
      <alignment vertical="center"/>
    </xf>
    <xf numFmtId="165" fontId="2" fillId="4" borderId="0" xfId="1" applyNumberFormat="1" applyFont="1" applyFill="1" applyBorder="1" applyAlignment="1">
      <alignment vertical="center"/>
    </xf>
  </cellXfs>
  <cellStyles count="2">
    <cellStyle name="Normal" xfId="0" builtinId="0"/>
    <cellStyle name="Normal_Cuadros de Salida CNT 2001-2006" xfId="1" xr:uid="{0A8EC507-C753-4DB3-B860-A91A74354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46B7-CF16-43AA-95F3-21749D0E74D3}">
  <dimension ref="A7:N100"/>
  <sheetViews>
    <sheetView workbookViewId="0">
      <selection activeCell="C38" sqref="C38"/>
    </sheetView>
  </sheetViews>
  <sheetFormatPr baseColWidth="10" defaultRowHeight="15" x14ac:dyDescent="0.25"/>
  <cols>
    <col min="12" max="13" width="11.42578125" customWidth="1"/>
  </cols>
  <sheetData>
    <row r="7" spans="1:14" x14ac:dyDescent="0.25"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7</v>
      </c>
      <c r="I7" t="s">
        <v>0</v>
      </c>
      <c r="J7" t="s">
        <v>1</v>
      </c>
      <c r="K7" t="s">
        <v>2</v>
      </c>
      <c r="L7" t="s">
        <v>6</v>
      </c>
      <c r="M7" t="s">
        <v>7</v>
      </c>
      <c r="N7" t="s">
        <v>8</v>
      </c>
    </row>
    <row r="8" spans="1:14" x14ac:dyDescent="0.25">
      <c r="A8" s="7">
        <v>36951</v>
      </c>
      <c r="B8" s="1">
        <v>39611.100000000006</v>
      </c>
      <c r="C8" s="1">
        <v>31057</v>
      </c>
      <c r="D8" s="1">
        <v>9645.4000000000033</v>
      </c>
      <c r="E8" s="11">
        <v>0.56538339665946347</v>
      </c>
      <c r="F8" s="11"/>
      <c r="G8" s="11"/>
      <c r="H8" s="18"/>
      <c r="I8" s="16">
        <f>LN(B8)</f>
        <v>10.586864660995321</v>
      </c>
      <c r="J8" s="16">
        <f t="shared" ref="J8:K8" si="0">LN(C8)</f>
        <v>10.343579504787346</v>
      </c>
      <c r="K8" s="16">
        <f t="shared" si="0"/>
        <v>9.174236396745302</v>
      </c>
      <c r="L8" s="16"/>
      <c r="M8" s="16"/>
      <c r="N8" s="16"/>
    </row>
    <row r="9" spans="1:14" x14ac:dyDescent="0.25">
      <c r="A9" s="7">
        <v>37043</v>
      </c>
      <c r="B9" s="1">
        <v>36977.299999999996</v>
      </c>
      <c r="C9" s="1">
        <v>30850.400000000001</v>
      </c>
      <c r="D9" s="1">
        <v>6919.1</v>
      </c>
      <c r="E9" s="11">
        <v>0.55597354346999117</v>
      </c>
      <c r="F9" s="11">
        <f>LN(E9)-LN(E8)</f>
        <v>-1.678336974334993E-2</v>
      </c>
      <c r="G9" s="11"/>
      <c r="H9" s="18"/>
      <c r="I9" s="16">
        <f t="shared" ref="I9:I15" si="1">LN(B9)</f>
        <v>10.518059489836421</v>
      </c>
      <c r="J9" s="16">
        <f t="shared" ref="J9:J15" si="2">LN(C9)</f>
        <v>10.336904995213819</v>
      </c>
      <c r="K9" s="16">
        <f t="shared" ref="K9:K15" si="3">LN(D9)</f>
        <v>8.8420409823499977</v>
      </c>
      <c r="L9" s="16"/>
      <c r="M9" s="16"/>
      <c r="N9" s="16"/>
    </row>
    <row r="10" spans="1:14" x14ac:dyDescent="0.25">
      <c r="A10" s="7">
        <v>37135</v>
      </c>
      <c r="B10" s="1">
        <v>37689.300000000003</v>
      </c>
      <c r="C10" s="1">
        <v>32045.4</v>
      </c>
      <c r="D10" s="1">
        <v>7009.3000000000056</v>
      </c>
      <c r="E10" s="11">
        <v>0.56834262241685074</v>
      </c>
      <c r="F10" s="11">
        <f t="shared" ref="F10:F73" si="4">LN(E10)-LN(E9)</f>
        <v>2.2003735913038613E-2</v>
      </c>
      <c r="G10" s="11"/>
      <c r="H10" s="18"/>
      <c r="I10" s="16">
        <f t="shared" si="1"/>
        <v>10.537131513523041</v>
      </c>
      <c r="J10" s="16">
        <f t="shared" si="2"/>
        <v>10.374908926306981</v>
      </c>
      <c r="K10" s="16">
        <f t="shared" si="3"/>
        <v>8.854993117695912</v>
      </c>
      <c r="L10" s="16"/>
      <c r="M10" s="16"/>
      <c r="N10" s="16"/>
    </row>
    <row r="11" spans="1:14" x14ac:dyDescent="0.25">
      <c r="A11" s="7">
        <v>37226</v>
      </c>
      <c r="B11" s="2">
        <v>40711.1</v>
      </c>
      <c r="C11" s="1">
        <v>34431.300000000003</v>
      </c>
      <c r="D11" s="1">
        <v>7321.4999999999991</v>
      </c>
      <c r="E11" s="11">
        <v>0.57253857956327359</v>
      </c>
      <c r="F11" s="11">
        <f t="shared" si="4"/>
        <v>7.3556756969654913E-3</v>
      </c>
      <c r="G11" s="11">
        <v>21092.667597539999</v>
      </c>
      <c r="H11" s="18"/>
      <c r="I11" s="16">
        <f t="shared" si="1"/>
        <v>10.614256061520091</v>
      </c>
      <c r="J11" s="16">
        <f t="shared" si="2"/>
        <v>10.446721313389149</v>
      </c>
      <c r="K11" s="16">
        <f t="shared" si="3"/>
        <v>8.8985705039953125</v>
      </c>
      <c r="L11" s="16">
        <f>LN(G11)-LN(E11)</f>
        <v>10.514355909784694</v>
      </c>
      <c r="M11" s="16"/>
      <c r="N11" s="16"/>
    </row>
    <row r="12" spans="1:14" x14ac:dyDescent="0.25">
      <c r="A12" s="7">
        <v>37316</v>
      </c>
      <c r="B12" s="3">
        <v>43258.8</v>
      </c>
      <c r="C12" s="3">
        <v>34260.5</v>
      </c>
      <c r="D12" s="3">
        <v>8411.8999999999978</v>
      </c>
      <c r="E12" s="12">
        <v>0.59952352772422812</v>
      </c>
      <c r="F12" s="12">
        <f t="shared" si="4"/>
        <v>4.6055098234462855E-2</v>
      </c>
      <c r="G12" s="12">
        <v>20981.93401886</v>
      </c>
      <c r="H12" s="19"/>
      <c r="I12" s="16">
        <f t="shared" si="1"/>
        <v>10.674955959871269</v>
      </c>
      <c r="J12" s="16">
        <f t="shared" si="2"/>
        <v>10.441748366050659</v>
      </c>
      <c r="K12" s="16">
        <f t="shared" si="3"/>
        <v>9.0374026489725665</v>
      </c>
      <c r="L12" s="16">
        <f t="shared" ref="L12:L15" si="5">LN(G12)-LN(E12)</f>
        <v>10.463037121338315</v>
      </c>
      <c r="M12" s="16"/>
      <c r="N12" s="16"/>
    </row>
    <row r="13" spans="1:14" x14ac:dyDescent="0.25">
      <c r="A13" s="7">
        <v>37408</v>
      </c>
      <c r="B13" s="3">
        <v>41448.699999999997</v>
      </c>
      <c r="C13" s="3">
        <v>33928.9</v>
      </c>
      <c r="D13" s="3">
        <v>10422.200000000001</v>
      </c>
      <c r="E13" s="12">
        <v>0.59300362537591456</v>
      </c>
      <c r="F13" s="12">
        <f t="shared" si="4"/>
        <v>-1.0934706678063177E-2</v>
      </c>
      <c r="G13" s="12">
        <v>20405.700000008503</v>
      </c>
      <c r="H13" s="19">
        <v>14.9009718563645</v>
      </c>
      <c r="I13" s="16">
        <f t="shared" si="1"/>
        <v>10.632211796983551</v>
      </c>
      <c r="J13" s="16">
        <f t="shared" si="2"/>
        <v>10.432022437565154</v>
      </c>
      <c r="K13" s="16">
        <f t="shared" si="3"/>
        <v>9.2516934254596617</v>
      </c>
      <c r="L13" s="16">
        <f t="shared" si="5"/>
        <v>10.44612431895359</v>
      </c>
      <c r="M13" s="16">
        <f>H13</f>
        <v>14.9009718563645</v>
      </c>
      <c r="N13" s="17">
        <f>F13</f>
        <v>-1.0934706678063177E-2</v>
      </c>
    </row>
    <row r="14" spans="1:14" x14ac:dyDescent="0.25">
      <c r="A14" s="7">
        <v>37500</v>
      </c>
      <c r="B14" s="3">
        <v>42519.299999999988</v>
      </c>
      <c r="C14" s="3">
        <v>34901.199999999997</v>
      </c>
      <c r="D14" s="3">
        <v>7873.7000000000016</v>
      </c>
      <c r="E14" s="12">
        <v>0.60477398120504455</v>
      </c>
      <c r="F14" s="12">
        <f t="shared" si="4"/>
        <v>1.9654290847830214E-2</v>
      </c>
      <c r="G14" s="12">
        <v>20155.049211439706</v>
      </c>
      <c r="H14" s="19">
        <v>14.0300886973071</v>
      </c>
      <c r="I14" s="16">
        <f t="shared" si="1"/>
        <v>10.657713369479353</v>
      </c>
      <c r="J14" s="16">
        <f t="shared" si="2"/>
        <v>10.460276491553559</v>
      </c>
      <c r="K14" s="16">
        <f t="shared" si="3"/>
        <v>8.9712833707016557</v>
      </c>
      <c r="L14" s="16">
        <f t="shared" si="5"/>
        <v>10.414110592734016</v>
      </c>
      <c r="M14" s="16">
        <f t="shared" ref="M14:M15" si="6">H14</f>
        <v>14.0300886973071</v>
      </c>
      <c r="N14" s="17">
        <f t="shared" ref="N14:N15" si="7">F14</f>
        <v>1.9654290847830214E-2</v>
      </c>
    </row>
    <row r="15" spans="1:14" x14ac:dyDescent="0.25">
      <c r="A15" s="7">
        <v>37591</v>
      </c>
      <c r="B15" s="3">
        <v>44219.7</v>
      </c>
      <c r="C15" s="3">
        <v>37771.599999999999</v>
      </c>
      <c r="D15" s="3">
        <v>8714.5</v>
      </c>
      <c r="E15" s="12">
        <v>0.60356573000964997</v>
      </c>
      <c r="F15" s="12">
        <f t="shared" si="4"/>
        <v>-1.9998541583502449E-3</v>
      </c>
      <c r="G15" s="12">
        <v>22413.292560496768</v>
      </c>
      <c r="H15" s="19">
        <v>15.607394025718101</v>
      </c>
      <c r="I15" s="16">
        <f t="shared" si="1"/>
        <v>10.696925670127909</v>
      </c>
      <c r="J15" s="16">
        <f t="shared" si="2"/>
        <v>10.539312776471968</v>
      </c>
      <c r="K15" s="16">
        <f t="shared" si="3"/>
        <v>9.0727435839617367</v>
      </c>
      <c r="L15" s="16">
        <f t="shared" si="5"/>
        <v>10.522309809414564</v>
      </c>
      <c r="M15" s="16">
        <f t="shared" si="6"/>
        <v>15.607394025718101</v>
      </c>
      <c r="N15" s="17">
        <f t="shared" si="7"/>
        <v>-1.9998541583502449E-3</v>
      </c>
    </row>
    <row r="16" spans="1:14" x14ac:dyDescent="0.25">
      <c r="A16" s="7">
        <v>37681</v>
      </c>
      <c r="B16" s="1">
        <v>47396.9</v>
      </c>
      <c r="C16" s="1">
        <v>37399.800000000003</v>
      </c>
      <c r="D16" s="1">
        <v>11820.4</v>
      </c>
      <c r="E16" s="11">
        <v>0.6282619732162622</v>
      </c>
      <c r="F16" s="11">
        <f t="shared" si="4"/>
        <v>4.0102284999028792E-2</v>
      </c>
      <c r="G16" s="11">
        <v>22334.390384730639</v>
      </c>
      <c r="H16" s="18">
        <v>13.583145184875301</v>
      </c>
      <c r="I16" s="16">
        <f t="shared" ref="I16:I79" si="8">LN(B16)</f>
        <v>10.766312104700557</v>
      </c>
      <c r="J16" s="16">
        <f t="shared" ref="J16:J79" si="9">LN(C16)</f>
        <v>10.529420635794741</v>
      </c>
      <c r="K16" s="16">
        <f t="shared" ref="K16:K79" si="10">LN(D16)</f>
        <v>9.3775821313350445</v>
      </c>
      <c r="L16" s="16">
        <f t="shared" ref="L16:L79" si="11">LN(G16)-LN(E16)</f>
        <v>10.478680983940361</v>
      </c>
      <c r="M16" s="16">
        <f t="shared" ref="M16:M79" si="12">H16</f>
        <v>13.583145184875301</v>
      </c>
      <c r="N16" s="17">
        <f t="shared" ref="N16:N79" si="13">F16</f>
        <v>4.0102284999028792E-2</v>
      </c>
    </row>
    <row r="17" spans="1:14" x14ac:dyDescent="0.25">
      <c r="A17" s="7">
        <v>37773</v>
      </c>
      <c r="B17" s="1">
        <v>44096.499999999985</v>
      </c>
      <c r="C17" s="1">
        <v>36822.6</v>
      </c>
      <c r="D17" s="1">
        <v>8583.0999999999767</v>
      </c>
      <c r="E17" s="11">
        <v>0.61637133939316824</v>
      </c>
      <c r="F17" s="11">
        <f t="shared" si="4"/>
        <v>-1.9107628687773548E-2</v>
      </c>
      <c r="G17" s="11">
        <v>23013.371626225682</v>
      </c>
      <c r="H17" s="18">
        <v>13.7775278818632</v>
      </c>
      <c r="I17" s="16">
        <f t="shared" si="8"/>
        <v>10.694135693205997</v>
      </c>
      <c r="J17" s="16">
        <f t="shared" si="9"/>
        <v>10.513867066090882</v>
      </c>
      <c r="K17" s="16">
        <f t="shared" si="10"/>
        <v>9.0575504325882452</v>
      </c>
      <c r="L17" s="16">
        <f t="shared" si="11"/>
        <v>10.527736374415195</v>
      </c>
      <c r="M17" s="16">
        <f t="shared" si="12"/>
        <v>13.7775278818632</v>
      </c>
      <c r="N17" s="17">
        <f t="shared" si="13"/>
        <v>-1.9107628687773548E-2</v>
      </c>
    </row>
    <row r="18" spans="1:14" x14ac:dyDescent="0.25">
      <c r="A18" s="7">
        <v>37865</v>
      </c>
      <c r="B18" s="1">
        <v>45153.399999999994</v>
      </c>
      <c r="C18" s="1">
        <v>37851.5</v>
      </c>
      <c r="D18" s="1">
        <v>8111</v>
      </c>
      <c r="E18" s="11">
        <v>0.62808576932974447</v>
      </c>
      <c r="F18" s="11">
        <f t="shared" si="4"/>
        <v>1.8827126909952085E-2</v>
      </c>
      <c r="G18" s="11">
        <v>23976.188264725803</v>
      </c>
      <c r="H18" s="18">
        <v>13.9337310826156</v>
      </c>
      <c r="I18" s="16">
        <f t="shared" si="8"/>
        <v>10.717820860550308</v>
      </c>
      <c r="J18" s="16">
        <f t="shared" si="9"/>
        <v>10.541425888199234</v>
      </c>
      <c r="K18" s="16">
        <f t="shared" si="10"/>
        <v>9.0009764440703446</v>
      </c>
      <c r="L18" s="16">
        <f t="shared" si="11"/>
        <v>10.549895007655131</v>
      </c>
      <c r="M18" s="16">
        <f t="shared" si="12"/>
        <v>13.9337310826156</v>
      </c>
      <c r="N18" s="17">
        <f t="shared" si="13"/>
        <v>1.8827126909952085E-2</v>
      </c>
    </row>
    <row r="19" spans="1:14" x14ac:dyDescent="0.25">
      <c r="A19" s="7">
        <v>37956</v>
      </c>
      <c r="B19" s="2">
        <v>46639.5</v>
      </c>
      <c r="C19" s="8">
        <v>40909.599999999999</v>
      </c>
      <c r="D19" s="8">
        <v>9030.9000000000033</v>
      </c>
      <c r="E19" s="13">
        <v>0.62838091824897568</v>
      </c>
      <c r="F19" s="13">
        <f t="shared" si="4"/>
        <v>4.698077992481009E-4</v>
      </c>
      <c r="G19" s="13">
        <v>26770.312220625325</v>
      </c>
      <c r="H19" s="18">
        <v>13.471994825287</v>
      </c>
      <c r="I19" s="16">
        <f t="shared" si="8"/>
        <v>10.750203100555247</v>
      </c>
      <c r="J19" s="16">
        <f t="shared" si="9"/>
        <v>10.619120033315145</v>
      </c>
      <c r="K19" s="16">
        <f t="shared" si="10"/>
        <v>9.1084073092186149</v>
      </c>
      <c r="L19" s="16">
        <f t="shared" si="11"/>
        <v>10.659657538199825</v>
      </c>
      <c r="M19" s="16">
        <f t="shared" si="12"/>
        <v>13.471994825287</v>
      </c>
      <c r="N19" s="17">
        <f t="shared" si="13"/>
        <v>4.698077992481009E-4</v>
      </c>
    </row>
    <row r="20" spans="1:14" x14ac:dyDescent="0.25">
      <c r="A20" s="7">
        <v>38047</v>
      </c>
      <c r="B20" s="3">
        <v>50015.500000000007</v>
      </c>
      <c r="C20" s="3">
        <v>40389.9</v>
      </c>
      <c r="D20" s="3">
        <v>12026.799999999994</v>
      </c>
      <c r="E20" s="12">
        <v>0.65219715808402146</v>
      </c>
      <c r="F20" s="12">
        <f t="shared" si="4"/>
        <v>3.7200365607806152E-2</v>
      </c>
      <c r="G20" s="12">
        <v>25529.475042696213</v>
      </c>
      <c r="H20" s="19">
        <v>14.1114521688268</v>
      </c>
      <c r="I20" s="16">
        <f t="shared" si="8"/>
        <v>10.820088236370211</v>
      </c>
      <c r="J20" s="16">
        <f t="shared" si="9"/>
        <v>10.606335032694032</v>
      </c>
      <c r="K20" s="16">
        <f t="shared" si="10"/>
        <v>9.3948927719214961</v>
      </c>
      <c r="L20" s="16">
        <f t="shared" si="11"/>
        <v>10.574997320720827</v>
      </c>
      <c r="M20" s="16">
        <f t="shared" si="12"/>
        <v>14.1114521688268</v>
      </c>
      <c r="N20" s="17">
        <f t="shared" si="13"/>
        <v>3.7200365607806152E-2</v>
      </c>
    </row>
    <row r="21" spans="1:14" x14ac:dyDescent="0.25">
      <c r="A21" s="7">
        <v>38139</v>
      </c>
      <c r="B21" s="3">
        <v>47474.200000000012</v>
      </c>
      <c r="C21" s="3">
        <v>39455</v>
      </c>
      <c r="D21" s="3">
        <v>10996.900000000005</v>
      </c>
      <c r="E21" s="12">
        <v>0.64583279484685463</v>
      </c>
      <c r="F21" s="12">
        <f t="shared" si="4"/>
        <v>-9.8062671419925085E-3</v>
      </c>
      <c r="G21" s="12">
        <v>25315.295363173522</v>
      </c>
      <c r="H21" s="19">
        <v>10.9981577021737</v>
      </c>
      <c r="I21" s="16">
        <f t="shared" si="8"/>
        <v>10.767941684564311</v>
      </c>
      <c r="J21" s="16">
        <f t="shared" si="9"/>
        <v>10.582916060955135</v>
      </c>
      <c r="K21" s="16">
        <f t="shared" si="10"/>
        <v>9.3053686938804834</v>
      </c>
      <c r="L21" s="16">
        <f t="shared" si="11"/>
        <v>10.576378692060787</v>
      </c>
      <c r="M21" s="16">
        <f t="shared" si="12"/>
        <v>10.9981577021737</v>
      </c>
      <c r="N21" s="17">
        <f t="shared" si="13"/>
        <v>-9.8062671419925085E-3</v>
      </c>
    </row>
    <row r="22" spans="1:14" x14ac:dyDescent="0.25">
      <c r="A22" s="7">
        <v>38231</v>
      </c>
      <c r="B22" s="3">
        <v>48760.2</v>
      </c>
      <c r="C22" s="3">
        <v>41684.699999999997</v>
      </c>
      <c r="D22" s="3">
        <v>8705.4000000000015</v>
      </c>
      <c r="E22" s="12">
        <v>0.65891805990237895</v>
      </c>
      <c r="F22" s="12">
        <f t="shared" si="4"/>
        <v>2.0058547941024019E-2</v>
      </c>
      <c r="G22" s="12">
        <v>26092.148705170002</v>
      </c>
      <c r="H22" s="19">
        <v>13.661728160454</v>
      </c>
      <c r="I22" s="16">
        <f t="shared" si="8"/>
        <v>10.79466968530952</v>
      </c>
      <c r="J22" s="16">
        <f t="shared" si="9"/>
        <v>10.637889433985423</v>
      </c>
      <c r="K22" s="16">
        <f t="shared" si="10"/>
        <v>9.0716988017496938</v>
      </c>
      <c r="L22" s="16">
        <f t="shared" si="11"/>
        <v>10.586545824430322</v>
      </c>
      <c r="M22" s="16">
        <f t="shared" si="12"/>
        <v>13.661728160454</v>
      </c>
      <c r="N22" s="17">
        <f t="shared" si="13"/>
        <v>2.0058547941024019E-2</v>
      </c>
    </row>
    <row r="23" spans="1:14" x14ac:dyDescent="0.25">
      <c r="A23" s="7">
        <v>38322</v>
      </c>
      <c r="B23" s="3">
        <v>52302.2</v>
      </c>
      <c r="C23" s="3">
        <v>45718.3</v>
      </c>
      <c r="D23" s="3">
        <v>10129.200000000001</v>
      </c>
      <c r="E23" s="12">
        <v>0.67399568557812994</v>
      </c>
      <c r="F23" s="12">
        <f t="shared" si="4"/>
        <v>2.2624522957873983E-2</v>
      </c>
      <c r="G23" s="12">
        <v>28817.715847780993</v>
      </c>
      <c r="H23" s="19">
        <v>12.5604165446748</v>
      </c>
      <c r="I23" s="16">
        <f t="shared" si="8"/>
        <v>10.864793714177866</v>
      </c>
      <c r="J23" s="16">
        <f t="shared" si="9"/>
        <v>10.730253934365305</v>
      </c>
      <c r="K23" s="16">
        <f t="shared" si="10"/>
        <v>9.2231776207776743</v>
      </c>
      <c r="L23" s="16">
        <f t="shared" si="11"/>
        <v>10.663277179920129</v>
      </c>
      <c r="M23" s="16">
        <f t="shared" si="12"/>
        <v>12.5604165446748</v>
      </c>
      <c r="N23" s="17">
        <f t="shared" si="13"/>
        <v>2.2624522957873983E-2</v>
      </c>
    </row>
    <row r="24" spans="1:14" x14ac:dyDescent="0.25">
      <c r="A24" s="7">
        <v>38412</v>
      </c>
      <c r="B24" s="1">
        <v>54739.5</v>
      </c>
      <c r="C24" s="1">
        <v>44904.3</v>
      </c>
      <c r="D24" s="1">
        <v>10866.3</v>
      </c>
      <c r="E24" s="11">
        <v>0.6905972446507872</v>
      </c>
      <c r="F24" s="11">
        <f t="shared" si="4"/>
        <v>2.4333085485159556E-2</v>
      </c>
      <c r="G24" s="11">
        <v>29267.359563999998</v>
      </c>
      <c r="H24" s="18">
        <v>11.379598490273001</v>
      </c>
      <c r="I24" s="16">
        <f t="shared" si="8"/>
        <v>10.910340848464536</v>
      </c>
      <c r="J24" s="16">
        <f t="shared" si="9"/>
        <v>10.712288837519013</v>
      </c>
      <c r="K24" s="16">
        <f t="shared" si="10"/>
        <v>9.2934215357861163</v>
      </c>
      <c r="L24" s="16">
        <f t="shared" si="11"/>
        <v>10.65442664980691</v>
      </c>
      <c r="M24" s="16">
        <f t="shared" si="12"/>
        <v>11.379598490273001</v>
      </c>
      <c r="N24" s="17">
        <f t="shared" si="13"/>
        <v>2.4333085485159556E-2</v>
      </c>
    </row>
    <row r="25" spans="1:14" x14ac:dyDescent="0.25">
      <c r="A25" s="7">
        <v>38504</v>
      </c>
      <c r="B25" s="1">
        <v>52652.899999999987</v>
      </c>
      <c r="C25" s="1">
        <v>44688.1</v>
      </c>
      <c r="D25" s="1">
        <v>11336.2</v>
      </c>
      <c r="E25" s="11">
        <v>0.68247882358278389</v>
      </c>
      <c r="F25" s="11">
        <f t="shared" si="4"/>
        <v>-1.1825296297374499E-2</v>
      </c>
      <c r="G25" s="11">
        <v>29366.558128339449</v>
      </c>
      <c r="H25" s="18">
        <v>9.5441470046628094</v>
      </c>
      <c r="I25" s="16">
        <f t="shared" si="8"/>
        <v>10.871476596766982</v>
      </c>
      <c r="J25" s="16">
        <f t="shared" si="9"/>
        <v>10.707462525919654</v>
      </c>
      <c r="K25" s="16">
        <f t="shared" si="10"/>
        <v>9.3357564241224331</v>
      </c>
      <c r="L25" s="16">
        <f t="shared" si="11"/>
        <v>10.669635607400975</v>
      </c>
      <c r="M25" s="16">
        <f t="shared" si="12"/>
        <v>9.5441470046628094</v>
      </c>
      <c r="N25" s="17">
        <f t="shared" si="13"/>
        <v>-1.1825296297374499E-2</v>
      </c>
    </row>
    <row r="26" spans="1:14" x14ac:dyDescent="0.25">
      <c r="A26" s="7">
        <v>38596</v>
      </c>
      <c r="B26" s="1">
        <v>52604.2</v>
      </c>
      <c r="C26" s="1">
        <v>46020</v>
      </c>
      <c r="D26" s="1">
        <v>9922.1999999999916</v>
      </c>
      <c r="E26" s="11">
        <v>0.69425883228652907</v>
      </c>
      <c r="F26" s="11">
        <f t="shared" si="4"/>
        <v>1.711334930054903E-2</v>
      </c>
      <c r="G26" s="11">
        <v>30178.560904650345</v>
      </c>
      <c r="H26" s="18">
        <v>9.7644569469272309</v>
      </c>
      <c r="I26" s="16">
        <f t="shared" si="8"/>
        <v>10.870551243446872</v>
      </c>
      <c r="J26" s="16">
        <f t="shared" si="9"/>
        <v>10.736831363589356</v>
      </c>
      <c r="K26" s="16">
        <f t="shared" si="10"/>
        <v>9.2025299498842053</v>
      </c>
      <c r="L26" s="16">
        <f t="shared" si="11"/>
        <v>10.679797478263776</v>
      </c>
      <c r="M26" s="16">
        <f t="shared" si="12"/>
        <v>9.7644569469272309</v>
      </c>
      <c r="N26" s="17">
        <f t="shared" si="13"/>
        <v>1.711334930054903E-2</v>
      </c>
    </row>
    <row r="27" spans="1:14" x14ac:dyDescent="0.25">
      <c r="A27" s="7">
        <v>38687</v>
      </c>
      <c r="B27" s="1">
        <v>55186.500000000007</v>
      </c>
      <c r="C27" s="8">
        <v>50480.4</v>
      </c>
      <c r="D27" s="8">
        <v>11053.900000000001</v>
      </c>
      <c r="E27" s="13">
        <v>0.6997715042174083</v>
      </c>
      <c r="F27" s="13">
        <f t="shared" si="4"/>
        <v>7.9090110486477183E-3</v>
      </c>
      <c r="G27" s="13">
        <v>33643.94838229</v>
      </c>
      <c r="H27" s="18">
        <v>9.6636913226698198</v>
      </c>
      <c r="I27" s="16">
        <f t="shared" si="8"/>
        <v>10.918473637136845</v>
      </c>
      <c r="J27" s="16">
        <f t="shared" si="9"/>
        <v>10.829340421113971</v>
      </c>
      <c r="K27" s="16">
        <f t="shared" si="10"/>
        <v>9.3105385858532834</v>
      </c>
      <c r="L27" s="16">
        <f t="shared" si="11"/>
        <v>10.780589898621622</v>
      </c>
      <c r="M27" s="16">
        <f t="shared" si="12"/>
        <v>9.6636913226698198</v>
      </c>
      <c r="N27" s="17">
        <f t="shared" si="13"/>
        <v>7.9090110486477183E-3</v>
      </c>
    </row>
    <row r="28" spans="1:14" x14ac:dyDescent="0.25">
      <c r="A28" s="7">
        <v>38777</v>
      </c>
      <c r="B28" s="3">
        <v>60101.900000000009</v>
      </c>
      <c r="C28" s="3">
        <v>51333.2</v>
      </c>
      <c r="D28" s="3">
        <v>12915.4</v>
      </c>
      <c r="E28" s="12">
        <v>0.72272607022607038</v>
      </c>
      <c r="F28" s="12">
        <f t="shared" si="4"/>
        <v>3.2276411801072047E-2</v>
      </c>
      <c r="G28" s="12">
        <v>34206.896321959997</v>
      </c>
      <c r="H28" s="19">
        <v>8.4641442311225106</v>
      </c>
      <c r="I28" s="16">
        <f t="shared" si="8"/>
        <v>11.003796734000293</v>
      </c>
      <c r="J28" s="16">
        <f t="shared" si="9"/>
        <v>10.846092995321685</v>
      </c>
      <c r="K28" s="16">
        <f t="shared" si="10"/>
        <v>9.466175676788616</v>
      </c>
      <c r="L28" s="16">
        <f t="shared" si="11"/>
        <v>10.764907557535297</v>
      </c>
      <c r="M28" s="16">
        <f t="shared" si="12"/>
        <v>8.4641442311225106</v>
      </c>
      <c r="N28" s="17">
        <f t="shared" si="13"/>
        <v>3.2276411801072047E-2</v>
      </c>
    </row>
    <row r="29" spans="1:14" x14ac:dyDescent="0.25">
      <c r="A29" s="7">
        <v>38869</v>
      </c>
      <c r="B29" s="3">
        <v>56810.30000000001</v>
      </c>
      <c r="C29" s="3">
        <v>49580.6</v>
      </c>
      <c r="D29" s="3">
        <v>12378.200000000006</v>
      </c>
      <c r="E29" s="12">
        <v>0.71550036902042102</v>
      </c>
      <c r="F29" s="12">
        <f t="shared" si="4"/>
        <v>-1.004815626229727E-2</v>
      </c>
      <c r="G29" s="12">
        <v>35099.786006549999</v>
      </c>
      <c r="H29" s="19">
        <v>8.1764093651615202</v>
      </c>
      <c r="I29" s="16">
        <f t="shared" si="8"/>
        <v>10.947472926297658</v>
      </c>
      <c r="J29" s="16">
        <f t="shared" si="9"/>
        <v>10.81135490716985</v>
      </c>
      <c r="K29" s="16">
        <f t="shared" si="10"/>
        <v>9.4236921398679172</v>
      </c>
      <c r="L29" s="16">
        <f t="shared" si="11"/>
        <v>10.800723476989837</v>
      </c>
      <c r="M29" s="16">
        <f t="shared" si="12"/>
        <v>8.1764093651615202</v>
      </c>
      <c r="N29" s="17">
        <f t="shared" si="13"/>
        <v>-1.004815626229727E-2</v>
      </c>
    </row>
    <row r="30" spans="1:14" x14ac:dyDescent="0.25">
      <c r="A30" s="7">
        <v>38961</v>
      </c>
      <c r="B30" s="3">
        <v>58936.299999999996</v>
      </c>
      <c r="C30" s="3">
        <v>51875</v>
      </c>
      <c r="D30" s="3">
        <v>11933</v>
      </c>
      <c r="E30" s="12">
        <v>0.7295785039359356</v>
      </c>
      <c r="F30" s="12">
        <f t="shared" si="4"/>
        <v>1.948486077079481E-2</v>
      </c>
      <c r="G30" s="12">
        <v>35816.781908950004</v>
      </c>
      <c r="H30" s="19">
        <v>8.3590299253646698</v>
      </c>
      <c r="I30" s="16">
        <f t="shared" si="8"/>
        <v>10.984212478617103</v>
      </c>
      <c r="J30" s="16">
        <f t="shared" si="9"/>
        <v>10.856592257533</v>
      </c>
      <c r="K30" s="16">
        <f t="shared" si="10"/>
        <v>9.3870629503696552</v>
      </c>
      <c r="L30" s="16">
        <f t="shared" si="11"/>
        <v>10.801460134420788</v>
      </c>
      <c r="M30" s="16">
        <f t="shared" si="12"/>
        <v>8.3590299253646698</v>
      </c>
      <c r="N30" s="17">
        <f t="shared" si="13"/>
        <v>1.948486077079481E-2</v>
      </c>
    </row>
    <row r="31" spans="1:14" x14ac:dyDescent="0.25">
      <c r="A31" s="7">
        <v>39052</v>
      </c>
      <c r="B31" s="3">
        <v>62174.3</v>
      </c>
      <c r="C31" s="3">
        <v>54641.9</v>
      </c>
      <c r="D31" s="3">
        <v>12959.300000000001</v>
      </c>
      <c r="E31" s="12">
        <v>0.73105640162168783</v>
      </c>
      <c r="F31" s="12">
        <f t="shared" si="4"/>
        <v>2.0236380555813671E-3</v>
      </c>
      <c r="G31" s="12">
        <v>40016.10511738999</v>
      </c>
      <c r="H31" s="19">
        <v>9.2718490991767393</v>
      </c>
      <c r="I31" s="16">
        <f t="shared" si="8"/>
        <v>11.037697010063797</v>
      </c>
      <c r="J31" s="16">
        <f t="shared" si="9"/>
        <v>10.908556266700133</v>
      </c>
      <c r="K31" s="16">
        <f t="shared" si="10"/>
        <v>9.4695689561018668</v>
      </c>
      <c r="L31" s="16">
        <f t="shared" si="11"/>
        <v>10.910301945405523</v>
      </c>
      <c r="M31" s="16">
        <f t="shared" si="12"/>
        <v>9.2718490991767393</v>
      </c>
      <c r="N31" s="17">
        <f t="shared" si="13"/>
        <v>2.0236380555813671E-3</v>
      </c>
    </row>
    <row r="32" spans="1:14" x14ac:dyDescent="0.25">
      <c r="A32" s="7">
        <v>39142</v>
      </c>
      <c r="B32" s="1">
        <v>67591.700000000012</v>
      </c>
      <c r="C32" s="1">
        <v>54295.3</v>
      </c>
      <c r="D32" s="1">
        <v>17897.5</v>
      </c>
      <c r="E32" s="11">
        <v>0.76511572098372471</v>
      </c>
      <c r="F32" s="11">
        <f t="shared" si="4"/>
        <v>4.5536478071705744E-2</v>
      </c>
      <c r="G32" s="11">
        <v>41319.691649679997</v>
      </c>
      <c r="H32" s="18">
        <v>8.4289020912616195</v>
      </c>
      <c r="I32" s="16">
        <f t="shared" si="8"/>
        <v>11.121240473427754</v>
      </c>
      <c r="J32" s="16">
        <f t="shared" si="9"/>
        <v>10.902192946006396</v>
      </c>
      <c r="K32" s="16">
        <f t="shared" si="10"/>
        <v>9.7924163172703409</v>
      </c>
      <c r="L32" s="16">
        <f t="shared" si="11"/>
        <v>10.896822648045958</v>
      </c>
      <c r="M32" s="16">
        <f t="shared" si="12"/>
        <v>8.4289020912616195</v>
      </c>
      <c r="N32" s="17">
        <f t="shared" si="13"/>
        <v>4.5536478071705744E-2</v>
      </c>
    </row>
    <row r="33" spans="1:14" x14ac:dyDescent="0.25">
      <c r="A33" s="7">
        <v>39234</v>
      </c>
      <c r="B33" s="1">
        <v>64074.500000000007</v>
      </c>
      <c r="C33" s="1">
        <v>57813.4</v>
      </c>
      <c r="D33" s="1">
        <v>10132.099999999999</v>
      </c>
      <c r="E33" s="11">
        <v>0.75181428311616705</v>
      </c>
      <c r="F33" s="11">
        <f t="shared" si="4"/>
        <v>-1.753776213830921E-2</v>
      </c>
      <c r="G33" s="11">
        <v>41044.015023309999</v>
      </c>
      <c r="H33" s="18">
        <v>5.8153614243917104</v>
      </c>
      <c r="I33" s="16">
        <f t="shared" si="8"/>
        <v>11.067801747846383</v>
      </c>
      <c r="J33" s="16">
        <f t="shared" si="9"/>
        <v>10.964975861701175</v>
      </c>
      <c r="K33" s="16">
        <f t="shared" si="10"/>
        <v>9.2234638807925595</v>
      </c>
      <c r="L33" s="16">
        <f t="shared" si="11"/>
        <v>10.907666256485596</v>
      </c>
      <c r="M33" s="16">
        <f t="shared" si="12"/>
        <v>5.8153614243917104</v>
      </c>
      <c r="N33" s="17">
        <f t="shared" si="13"/>
        <v>-1.753776213830921E-2</v>
      </c>
    </row>
    <row r="34" spans="1:14" x14ac:dyDescent="0.25">
      <c r="A34" s="7">
        <v>39326</v>
      </c>
      <c r="B34" s="1">
        <v>66701.700000000012</v>
      </c>
      <c r="C34" s="1">
        <v>58758.3</v>
      </c>
      <c r="D34" s="1">
        <v>13821</v>
      </c>
      <c r="E34" s="11">
        <v>0.78024452497537689</v>
      </c>
      <c r="F34" s="11">
        <f t="shared" si="4"/>
        <v>3.7118034605018169E-2</v>
      </c>
      <c r="G34" s="11">
        <v>42265.721893820002</v>
      </c>
      <c r="H34" s="18">
        <v>7.1368370342634799</v>
      </c>
      <c r="I34" s="16">
        <f t="shared" si="8"/>
        <v>11.107985718835293</v>
      </c>
      <c r="J34" s="16">
        <f t="shared" si="9"/>
        <v>10.981187698623552</v>
      </c>
      <c r="K34" s="16">
        <f t="shared" si="10"/>
        <v>9.5339444536040272</v>
      </c>
      <c r="L34" s="16">
        <f t="shared" si="11"/>
        <v>10.899879594266617</v>
      </c>
      <c r="M34" s="16">
        <f t="shared" si="12"/>
        <v>7.1368370342634799</v>
      </c>
      <c r="N34" s="17">
        <f t="shared" si="13"/>
        <v>3.7118034605018169E-2</v>
      </c>
    </row>
    <row r="35" spans="1:14" x14ac:dyDescent="0.25">
      <c r="A35" s="7">
        <v>39417</v>
      </c>
      <c r="B35" s="2">
        <v>70455.89999999998</v>
      </c>
      <c r="C35" s="8">
        <v>61940.6</v>
      </c>
      <c r="D35" s="8">
        <v>15356.89999999998</v>
      </c>
      <c r="E35" s="13">
        <v>0.78990862716519961</v>
      </c>
      <c r="F35" s="13">
        <f t="shared" si="4"/>
        <v>1.2309912842545651E-2</v>
      </c>
      <c r="G35" s="13">
        <v>44911.637616879998</v>
      </c>
      <c r="H35" s="18">
        <v>7.1195214221245697</v>
      </c>
      <c r="I35" s="16">
        <f t="shared" si="8"/>
        <v>11.162742261158751</v>
      </c>
      <c r="J35" s="16">
        <f t="shared" si="9"/>
        <v>11.033931140273948</v>
      </c>
      <c r="K35" s="16">
        <f t="shared" si="10"/>
        <v>9.6393201634160093</v>
      </c>
      <c r="L35" s="16">
        <f t="shared" si="11"/>
        <v>10.948290231858643</v>
      </c>
      <c r="M35" s="16">
        <f t="shared" si="12"/>
        <v>7.1195214221245697</v>
      </c>
      <c r="N35" s="17">
        <f t="shared" si="13"/>
        <v>1.2309912842545651E-2</v>
      </c>
    </row>
    <row r="36" spans="1:14" x14ac:dyDescent="0.25">
      <c r="A36" s="7">
        <v>39508</v>
      </c>
      <c r="B36" s="3">
        <v>75225.800000000017</v>
      </c>
      <c r="C36" s="3">
        <v>64345.599999999999</v>
      </c>
      <c r="D36" s="3">
        <v>15852.200000000023</v>
      </c>
      <c r="E36" s="12">
        <v>0.82729716176030699</v>
      </c>
      <c r="F36" s="12">
        <f t="shared" si="4"/>
        <v>4.624667850864328E-2</v>
      </c>
      <c r="G36" s="12">
        <v>43531.603802985948</v>
      </c>
      <c r="H36" s="19">
        <v>7.1584158244302802</v>
      </c>
      <c r="I36" s="16">
        <f t="shared" si="8"/>
        <v>11.228249536204077</v>
      </c>
      <c r="J36" s="16">
        <f t="shared" si="9"/>
        <v>11.072023834618147</v>
      </c>
      <c r="K36" s="16">
        <f t="shared" si="10"/>
        <v>9.671063570935253</v>
      </c>
      <c r="L36" s="16">
        <f t="shared" si="11"/>
        <v>10.87083380101037</v>
      </c>
      <c r="M36" s="16">
        <f t="shared" si="12"/>
        <v>7.1584158244302802</v>
      </c>
      <c r="N36" s="17">
        <f t="shared" si="13"/>
        <v>4.624667850864328E-2</v>
      </c>
    </row>
    <row r="37" spans="1:14" x14ac:dyDescent="0.25">
      <c r="A37" s="7">
        <v>39600</v>
      </c>
      <c r="B37" s="3">
        <v>74565.099999999977</v>
      </c>
      <c r="C37" s="3">
        <v>70242.2</v>
      </c>
      <c r="D37" s="3">
        <v>10042.09999999998</v>
      </c>
      <c r="E37" s="12">
        <v>0.82716753323253256</v>
      </c>
      <c r="F37" s="12">
        <f t="shared" si="4"/>
        <v>-1.5670147381446897E-4</v>
      </c>
      <c r="G37" s="12">
        <v>41968.11032691451</v>
      </c>
      <c r="H37" s="19">
        <v>8.0948310758238602</v>
      </c>
      <c r="I37" s="16">
        <f t="shared" si="8"/>
        <v>11.219427848307765</v>
      </c>
      <c r="J37" s="16">
        <f t="shared" si="9"/>
        <v>11.15970454900301</v>
      </c>
      <c r="K37" s="16">
        <f t="shared" si="10"/>
        <v>9.2145415347207287</v>
      </c>
      <c r="L37" s="16">
        <f t="shared" si="11"/>
        <v>10.834413355929208</v>
      </c>
      <c r="M37" s="16">
        <f t="shared" si="12"/>
        <v>8.0948310758238602</v>
      </c>
      <c r="N37" s="17">
        <f t="shared" si="13"/>
        <v>-1.5670147381446897E-4</v>
      </c>
    </row>
    <row r="38" spans="1:14" x14ac:dyDescent="0.25">
      <c r="A38" s="7">
        <v>39692</v>
      </c>
      <c r="B38" s="3">
        <v>75672.499999999971</v>
      </c>
      <c r="C38" s="3">
        <v>67238.5</v>
      </c>
      <c r="D38" s="3">
        <v>12502.999999999976</v>
      </c>
      <c r="E38" s="12">
        <v>0.85803976084079869</v>
      </c>
      <c r="F38" s="12">
        <f t="shared" si="4"/>
        <v>3.6643185730179995E-2</v>
      </c>
      <c r="G38" s="12">
        <v>41741.433031768684</v>
      </c>
      <c r="H38" s="19">
        <v>8.1271526352626307</v>
      </c>
      <c r="I38" s="16">
        <f t="shared" si="8"/>
        <v>11.234170097334967</v>
      </c>
      <c r="J38" s="16">
        <f t="shared" si="9"/>
        <v>11.116001279123811</v>
      </c>
      <c r="K38" s="16">
        <f t="shared" si="10"/>
        <v>9.4337238944949977</v>
      </c>
      <c r="L38" s="16">
        <f t="shared" si="11"/>
        <v>10.792354351640993</v>
      </c>
      <c r="M38" s="16">
        <f t="shared" si="12"/>
        <v>8.1271526352626307</v>
      </c>
      <c r="N38" s="17">
        <f t="shared" si="13"/>
        <v>3.6643185730179995E-2</v>
      </c>
    </row>
    <row r="39" spans="1:14" x14ac:dyDescent="0.25">
      <c r="A39" s="7">
        <v>39783</v>
      </c>
      <c r="B39" s="3">
        <v>78865.899999999994</v>
      </c>
      <c r="C39" s="3">
        <v>69075.8</v>
      </c>
      <c r="D39" s="3">
        <v>12356.499999999991</v>
      </c>
      <c r="E39" s="12">
        <v>0.85967784658416435</v>
      </c>
      <c r="F39" s="12">
        <f t="shared" si="4"/>
        <v>1.9072823528855642E-3</v>
      </c>
      <c r="G39" s="12">
        <v>47505.905557804232</v>
      </c>
      <c r="H39" s="19">
        <v>8.5310375121739597</v>
      </c>
      <c r="I39" s="16">
        <f t="shared" si="8"/>
        <v>11.275504220762882</v>
      </c>
      <c r="J39" s="16">
        <f t="shared" si="9"/>
        <v>11.142959731338738</v>
      </c>
      <c r="K39" s="16">
        <f t="shared" si="10"/>
        <v>9.4219375193900206</v>
      </c>
      <c r="L39" s="16">
        <f t="shared" si="11"/>
        <v>10.919806866736147</v>
      </c>
      <c r="M39" s="16">
        <f t="shared" si="12"/>
        <v>8.5310375121739597</v>
      </c>
      <c r="N39" s="17">
        <f t="shared" si="13"/>
        <v>1.9072823528855642E-3</v>
      </c>
    </row>
    <row r="40" spans="1:14" x14ac:dyDescent="0.25">
      <c r="A40" s="7">
        <v>39873</v>
      </c>
      <c r="B40" s="1">
        <v>78253.299999999988</v>
      </c>
      <c r="C40" s="1">
        <v>65198.9</v>
      </c>
      <c r="D40" s="1">
        <v>11520.499999999982</v>
      </c>
      <c r="E40" s="11">
        <v>0.86163259553533467</v>
      </c>
      <c r="F40" s="11">
        <f t="shared" si="4"/>
        <v>2.271234454445048E-3</v>
      </c>
      <c r="G40" s="11">
        <v>45976.489728727538</v>
      </c>
      <c r="H40" s="18">
        <v>8.5211569817099697</v>
      </c>
      <c r="I40" s="16">
        <f t="shared" si="8"/>
        <v>11.267706280037125</v>
      </c>
      <c r="J40" s="16">
        <f t="shared" si="9"/>
        <v>11.085197876606781</v>
      </c>
      <c r="K40" s="16">
        <f t="shared" si="10"/>
        <v>9.3518833360857858</v>
      </c>
      <c r="L40" s="16">
        <f t="shared" si="11"/>
        <v>10.884811774419289</v>
      </c>
      <c r="M40" s="16">
        <f t="shared" si="12"/>
        <v>8.5211569817099697</v>
      </c>
      <c r="N40" s="17">
        <f t="shared" si="13"/>
        <v>2.271234454445048E-3</v>
      </c>
    </row>
    <row r="41" spans="1:14" x14ac:dyDescent="0.25">
      <c r="A41" s="7">
        <v>39965</v>
      </c>
      <c r="B41" s="1">
        <v>74997.800000000017</v>
      </c>
      <c r="C41" s="1">
        <v>66165.100000000006</v>
      </c>
      <c r="D41" s="1">
        <v>6882.4</v>
      </c>
      <c r="E41" s="11">
        <v>0.83997361285488548</v>
      </c>
      <c r="F41" s="11">
        <f t="shared" si="4"/>
        <v>-2.5458478451901134E-2</v>
      </c>
      <c r="G41" s="11">
        <v>46050.915307051117</v>
      </c>
      <c r="H41" s="18">
        <v>8.72350598237988</v>
      </c>
      <c r="I41" s="16">
        <f t="shared" si="8"/>
        <v>11.225214058754883</v>
      </c>
      <c r="J41" s="16">
        <f t="shared" si="9"/>
        <v>11.09990841257909</v>
      </c>
      <c r="K41" s="16">
        <f t="shared" si="10"/>
        <v>8.836722707307139</v>
      </c>
      <c r="L41" s="16">
        <f t="shared" si="11"/>
        <v>10.911887718766716</v>
      </c>
      <c r="M41" s="16">
        <f t="shared" si="12"/>
        <v>8.72350598237988</v>
      </c>
      <c r="N41" s="17">
        <f t="shared" si="13"/>
        <v>-2.5458478451901134E-2</v>
      </c>
    </row>
    <row r="42" spans="1:14" x14ac:dyDescent="0.25">
      <c r="A42" s="7">
        <v>40057</v>
      </c>
      <c r="B42" s="1">
        <v>76667.600000000006</v>
      </c>
      <c r="C42" s="1">
        <v>65711.899999999994</v>
      </c>
      <c r="D42" s="1">
        <v>11327.200000000003</v>
      </c>
      <c r="E42" s="11">
        <v>0.85744418385914523</v>
      </c>
      <c r="F42" s="11">
        <f t="shared" si="4"/>
        <v>2.058560713612731E-2</v>
      </c>
      <c r="G42" s="11">
        <v>45045.0072592418</v>
      </c>
      <c r="H42" s="18">
        <v>9.4908931232287301</v>
      </c>
      <c r="I42" s="16">
        <f t="shared" si="8"/>
        <v>11.247234473076166</v>
      </c>
      <c r="J42" s="16">
        <f t="shared" si="9"/>
        <v>11.093035314403119</v>
      </c>
      <c r="K42" s="16">
        <f t="shared" si="10"/>
        <v>9.3349621919707619</v>
      </c>
      <c r="L42" s="16">
        <f t="shared" si="11"/>
        <v>10.869216624010908</v>
      </c>
      <c r="M42" s="16">
        <f t="shared" si="12"/>
        <v>9.4908931232287301</v>
      </c>
      <c r="N42" s="17">
        <f t="shared" si="13"/>
        <v>2.058560713612731E-2</v>
      </c>
    </row>
    <row r="43" spans="1:14" x14ac:dyDescent="0.25">
      <c r="A43" s="7">
        <v>40148</v>
      </c>
      <c r="B43" s="2">
        <v>80066.899999999994</v>
      </c>
      <c r="C43" s="8">
        <v>67381.600000000006</v>
      </c>
      <c r="D43" s="8">
        <v>12211.699999999999</v>
      </c>
      <c r="E43" s="13">
        <v>0.85388389843432555</v>
      </c>
      <c r="F43" s="13">
        <f t="shared" si="4"/>
        <v>-4.1608509766916102E-3</v>
      </c>
      <c r="G43" s="13">
        <v>50028.588226545864</v>
      </c>
      <c r="H43" s="18">
        <v>9.6145356303340392</v>
      </c>
      <c r="I43" s="16">
        <f t="shared" si="8"/>
        <v>11.2906178141938</v>
      </c>
      <c r="J43" s="16">
        <f t="shared" si="9"/>
        <v>11.118127262597284</v>
      </c>
      <c r="K43" s="16">
        <f t="shared" si="10"/>
        <v>9.4101497875523634</v>
      </c>
      <c r="L43" s="16">
        <f t="shared" si="11"/>
        <v>10.978309930292882</v>
      </c>
      <c r="M43" s="16">
        <f t="shared" si="12"/>
        <v>9.6145356303340392</v>
      </c>
      <c r="N43" s="17">
        <f t="shared" si="13"/>
        <v>-4.1608509766916102E-3</v>
      </c>
    </row>
    <row r="44" spans="1:14" x14ac:dyDescent="0.25">
      <c r="A44" s="7">
        <v>40238</v>
      </c>
      <c r="B44" s="3">
        <v>83764.099999999991</v>
      </c>
      <c r="C44" s="3">
        <v>69048.800000000003</v>
      </c>
      <c r="D44" s="3">
        <v>12771.2</v>
      </c>
      <c r="E44" s="12">
        <v>0.89528767831930134</v>
      </c>
      <c r="F44" s="12">
        <f t="shared" si="4"/>
        <v>4.7349860682177253E-2</v>
      </c>
      <c r="G44" s="12">
        <v>49667.260266605401</v>
      </c>
      <c r="H44" s="19">
        <v>9.7525480246180898</v>
      </c>
      <c r="I44" s="16">
        <f t="shared" si="8"/>
        <v>11.335759793725614</v>
      </c>
      <c r="J44" s="16">
        <f t="shared" si="9"/>
        <v>11.142568779975347</v>
      </c>
      <c r="K44" s="16">
        <f t="shared" si="10"/>
        <v>9.4549479148544151</v>
      </c>
      <c r="L44" s="16">
        <f t="shared" si="11"/>
        <v>10.923711431929251</v>
      </c>
      <c r="M44" s="16">
        <f t="shared" si="12"/>
        <v>9.7525480246180898</v>
      </c>
      <c r="N44" s="17">
        <f t="shared" si="13"/>
        <v>4.7349860682177253E-2</v>
      </c>
    </row>
    <row r="45" spans="1:14" x14ac:dyDescent="0.25">
      <c r="A45" s="7">
        <v>40330</v>
      </c>
      <c r="B45" s="3">
        <v>80946.300000000017</v>
      </c>
      <c r="C45" s="3">
        <v>70970</v>
      </c>
      <c r="D45" s="3">
        <v>9128.6</v>
      </c>
      <c r="E45" s="12">
        <v>0.87908189030250727</v>
      </c>
      <c r="F45" s="12">
        <f t="shared" si="4"/>
        <v>-1.8267038542781694E-2</v>
      </c>
      <c r="G45" s="12">
        <v>48480.128878472511</v>
      </c>
      <c r="H45" s="19">
        <v>9.8421468798016107</v>
      </c>
      <c r="I45" s="16">
        <f t="shared" si="8"/>
        <v>11.301541250834491</v>
      </c>
      <c r="J45" s="16">
        <f t="shared" si="9"/>
        <v>11.170012531519028</v>
      </c>
      <c r="K45" s="16">
        <f t="shared" si="10"/>
        <v>9.119167621195869</v>
      </c>
      <c r="L45" s="16">
        <f t="shared" si="11"/>
        <v>10.917786501731344</v>
      </c>
      <c r="M45" s="16">
        <f t="shared" si="12"/>
        <v>9.8421468798016107</v>
      </c>
      <c r="N45" s="17">
        <f t="shared" si="13"/>
        <v>-1.8267038542781694E-2</v>
      </c>
    </row>
    <row r="46" spans="1:14" x14ac:dyDescent="0.25">
      <c r="A46" s="7">
        <v>40422</v>
      </c>
      <c r="B46" s="3">
        <v>82168.10000000002</v>
      </c>
      <c r="C46" s="3">
        <v>71505.5</v>
      </c>
      <c r="D46" s="3">
        <v>12941.1</v>
      </c>
      <c r="E46" s="12">
        <v>0.90267634289531062</v>
      </c>
      <c r="F46" s="12">
        <f t="shared" si="4"/>
        <v>2.6486008535183528E-2</v>
      </c>
      <c r="G46" s="12">
        <v>48819.816544437868</v>
      </c>
      <c r="H46" s="19">
        <v>10.3116050871899</v>
      </c>
      <c r="I46" s="16">
        <f t="shared" si="8"/>
        <v>11.31652242786369</v>
      </c>
      <c r="J46" s="16">
        <f t="shared" si="9"/>
        <v>11.177529648800594</v>
      </c>
      <c r="K46" s="16">
        <f t="shared" si="10"/>
        <v>9.4681635721699156</v>
      </c>
      <c r="L46" s="16">
        <f t="shared" si="11"/>
        <v>10.898282800216844</v>
      </c>
      <c r="M46" s="16">
        <f t="shared" si="12"/>
        <v>10.3116050871899</v>
      </c>
      <c r="N46" s="17">
        <f t="shared" si="13"/>
        <v>2.6486008535183528E-2</v>
      </c>
    </row>
    <row r="47" spans="1:14" x14ac:dyDescent="0.25">
      <c r="A47" s="7">
        <v>40513</v>
      </c>
      <c r="B47" s="3">
        <v>87555.699999999983</v>
      </c>
      <c r="C47" s="3">
        <v>74355.199999999997</v>
      </c>
      <c r="D47" s="3">
        <v>13550.8</v>
      </c>
      <c r="E47" s="12">
        <v>0.904388918729083</v>
      </c>
      <c r="F47" s="12">
        <f t="shared" si="4"/>
        <v>1.8954227972414195E-3</v>
      </c>
      <c r="G47" s="12">
        <v>54557.246051621725</v>
      </c>
      <c r="H47" s="19">
        <v>10.4047717636491</v>
      </c>
      <c r="I47" s="16">
        <f t="shared" si="8"/>
        <v>11.380030441248628</v>
      </c>
      <c r="J47" s="16">
        <f t="shared" si="9"/>
        <v>11.216608888918104</v>
      </c>
      <c r="K47" s="16">
        <f t="shared" si="10"/>
        <v>9.5142008651554253</v>
      </c>
      <c r="L47" s="16">
        <f t="shared" si="11"/>
        <v>11.007501606924887</v>
      </c>
      <c r="M47" s="16">
        <f t="shared" si="12"/>
        <v>10.4047717636491</v>
      </c>
      <c r="N47" s="17">
        <f t="shared" si="13"/>
        <v>1.8954227972414195E-3</v>
      </c>
    </row>
    <row r="48" spans="1:14" x14ac:dyDescent="0.25">
      <c r="A48" s="7">
        <v>40603</v>
      </c>
      <c r="B48" s="1">
        <v>91460.7</v>
      </c>
      <c r="C48" s="1">
        <v>76958.7</v>
      </c>
      <c r="D48" s="1">
        <v>14202.499999999998</v>
      </c>
      <c r="E48" s="11">
        <v>0.94009581791102148</v>
      </c>
      <c r="F48" s="11">
        <f t="shared" si="4"/>
        <v>3.8722316309817949E-2</v>
      </c>
      <c r="G48" s="11">
        <v>53648.842854496834</v>
      </c>
      <c r="H48" s="18">
        <v>10.6010633357274</v>
      </c>
      <c r="I48" s="16">
        <f t="shared" si="8"/>
        <v>11.423664650801825</v>
      </c>
      <c r="J48" s="16">
        <f t="shared" si="9"/>
        <v>11.251024193305026</v>
      </c>
      <c r="K48" s="16">
        <f t="shared" si="10"/>
        <v>9.5611732844312822</v>
      </c>
      <c r="L48" s="16">
        <f t="shared" si="11"/>
        <v>10.951988654375631</v>
      </c>
      <c r="M48" s="16">
        <f t="shared" si="12"/>
        <v>10.6010633357274</v>
      </c>
      <c r="N48" s="17">
        <f t="shared" si="13"/>
        <v>3.8722316309817949E-2</v>
      </c>
    </row>
    <row r="49" spans="1:14" x14ac:dyDescent="0.25">
      <c r="A49" s="7">
        <v>40695</v>
      </c>
      <c r="B49" s="1">
        <v>89623.1</v>
      </c>
      <c r="C49" s="1">
        <v>76498.5</v>
      </c>
      <c r="D49" s="1">
        <v>15000.300000000003</v>
      </c>
      <c r="E49" s="11">
        <v>0.93137165244681852</v>
      </c>
      <c r="F49" s="11">
        <f t="shared" si="4"/>
        <v>-9.3234093551369454E-3</v>
      </c>
      <c r="G49" s="11">
        <v>54043.066735483102</v>
      </c>
      <c r="H49" s="18">
        <v>9.8673684633178507</v>
      </c>
      <c r="I49" s="16">
        <f t="shared" si="8"/>
        <v>11.40336837823509</v>
      </c>
      <c r="J49" s="16">
        <f t="shared" si="9"/>
        <v>11.245026411779254</v>
      </c>
      <c r="K49" s="16">
        <f t="shared" si="10"/>
        <v>9.6158254798843501</v>
      </c>
      <c r="L49" s="16">
        <f t="shared" si="11"/>
        <v>10.968633424145462</v>
      </c>
      <c r="M49" s="16">
        <f t="shared" si="12"/>
        <v>9.8673684633178507</v>
      </c>
      <c r="N49" s="17">
        <f t="shared" si="13"/>
        <v>-9.3234093551369454E-3</v>
      </c>
    </row>
    <row r="50" spans="1:14" x14ac:dyDescent="0.25">
      <c r="A50" s="7">
        <v>40787</v>
      </c>
      <c r="B50" s="1">
        <v>92060.3</v>
      </c>
      <c r="C50" s="1">
        <v>80654.7</v>
      </c>
      <c r="D50" s="1">
        <v>14732.299999999992</v>
      </c>
      <c r="E50" s="11">
        <v>0.95649350581884041</v>
      </c>
      <c r="F50" s="11">
        <f t="shared" si="4"/>
        <v>2.6615604669842946E-2</v>
      </c>
      <c r="G50" s="11">
        <v>52949.400601445959</v>
      </c>
      <c r="H50" s="18">
        <v>10.0991499302071</v>
      </c>
      <c r="I50" s="16">
        <f t="shared" si="8"/>
        <v>11.43019907611022</v>
      </c>
      <c r="J50" s="16">
        <f t="shared" si="9"/>
        <v>11.297932358358755</v>
      </c>
      <c r="K50" s="16">
        <f t="shared" si="10"/>
        <v>9.5977976411914465</v>
      </c>
      <c r="L50" s="16">
        <f t="shared" si="11"/>
        <v>10.921573310529872</v>
      </c>
      <c r="M50" s="16">
        <f t="shared" si="12"/>
        <v>10.0991499302071</v>
      </c>
      <c r="N50" s="17">
        <f t="shared" si="13"/>
        <v>2.6615604669842946E-2</v>
      </c>
    </row>
    <row r="51" spans="1:14" x14ac:dyDescent="0.25">
      <c r="A51" s="7">
        <v>40878</v>
      </c>
      <c r="B51" s="2">
        <v>96205.999999999985</v>
      </c>
      <c r="C51" s="8">
        <v>81055.100000000006</v>
      </c>
      <c r="D51" s="8">
        <v>15301.89999999998</v>
      </c>
      <c r="E51" s="13">
        <v>0.9590017434401692</v>
      </c>
      <c r="F51" s="13">
        <f t="shared" si="4"/>
        <v>2.6188935272826383E-3</v>
      </c>
      <c r="G51" s="13">
        <v>58609.517530730671</v>
      </c>
      <c r="H51" s="18">
        <v>9.4682013885084206</v>
      </c>
      <c r="I51" s="16">
        <f t="shared" si="8"/>
        <v>11.474247004771236</v>
      </c>
      <c r="J51" s="16">
        <f t="shared" si="9"/>
        <v>11.302884449305095</v>
      </c>
      <c r="K51" s="16">
        <f t="shared" si="10"/>
        <v>9.6357322826769902</v>
      </c>
      <c r="L51" s="16">
        <f t="shared" si="11"/>
        <v>11.020514763700481</v>
      </c>
      <c r="M51" s="16">
        <f t="shared" si="12"/>
        <v>9.4682013885084206</v>
      </c>
      <c r="N51" s="17">
        <f t="shared" si="13"/>
        <v>2.6188935272826383E-3</v>
      </c>
    </row>
    <row r="52" spans="1:14" x14ac:dyDescent="0.25">
      <c r="A52" s="7">
        <v>40969</v>
      </c>
      <c r="B52" s="3">
        <v>98146.800000000017</v>
      </c>
      <c r="C52" s="3">
        <v>84395.5</v>
      </c>
      <c r="D52" s="3">
        <v>15328.600000000028</v>
      </c>
      <c r="E52" s="12">
        <v>0.9717370254273705</v>
      </c>
      <c r="F52" s="12">
        <f t="shared" si="4"/>
        <v>1.3192325024330317E-2</v>
      </c>
      <c r="G52" s="12">
        <v>57539.176406165228</v>
      </c>
      <c r="H52" s="19">
        <v>9.56080280967136</v>
      </c>
      <c r="I52" s="16">
        <f t="shared" si="8"/>
        <v>11.494219596014682</v>
      </c>
      <c r="J52" s="16">
        <f t="shared" si="9"/>
        <v>11.343269361627073</v>
      </c>
      <c r="K52" s="16">
        <f t="shared" si="10"/>
        <v>9.6374756434946391</v>
      </c>
      <c r="L52" s="16">
        <f t="shared" si="11"/>
        <v>10.988891384688003</v>
      </c>
      <c r="M52" s="16">
        <f t="shared" si="12"/>
        <v>9.56080280967136</v>
      </c>
      <c r="N52" s="17">
        <f t="shared" si="13"/>
        <v>1.3192325024330317E-2</v>
      </c>
    </row>
    <row r="53" spans="1:14" x14ac:dyDescent="0.25">
      <c r="A53" s="7">
        <v>41061</v>
      </c>
      <c r="B53" s="3">
        <v>95001.2</v>
      </c>
      <c r="C53" s="3">
        <v>81625.5</v>
      </c>
      <c r="D53" s="3">
        <v>15762.1</v>
      </c>
      <c r="E53" s="12">
        <v>0.9614883246429381</v>
      </c>
      <c r="F53" s="12">
        <f t="shared" si="4"/>
        <v>-1.0602795785301208E-2</v>
      </c>
      <c r="G53" s="12">
        <v>56229.271372338837</v>
      </c>
      <c r="H53" s="19">
        <v>9.44636636826319</v>
      </c>
      <c r="I53" s="16">
        <f t="shared" si="8"/>
        <v>11.461644802081848</v>
      </c>
      <c r="J53" s="16">
        <f t="shared" si="9"/>
        <v>11.309896992134243</v>
      </c>
      <c r="K53" s="16">
        <f t="shared" si="10"/>
        <v>9.6653636032660106</v>
      </c>
      <c r="L53" s="16">
        <f t="shared" si="11"/>
        <v>10.97646560009845</v>
      </c>
      <c r="M53" s="16">
        <f t="shared" si="12"/>
        <v>9.44636636826319</v>
      </c>
      <c r="N53" s="17">
        <f t="shared" si="13"/>
        <v>-1.0602795785301208E-2</v>
      </c>
    </row>
    <row r="54" spans="1:14" x14ac:dyDescent="0.25">
      <c r="A54" s="7">
        <v>41153</v>
      </c>
      <c r="B54" s="3">
        <v>95942.200000000012</v>
      </c>
      <c r="C54" s="3">
        <v>83050.8</v>
      </c>
      <c r="D54" s="3">
        <v>14995.100000000006</v>
      </c>
      <c r="E54" s="12">
        <v>0.97243118438469867</v>
      </c>
      <c r="F54" s="12">
        <f t="shared" si="4"/>
        <v>1.1316889332683041E-2</v>
      </c>
      <c r="G54" s="12">
        <v>56035.561348030824</v>
      </c>
      <c r="H54" s="19">
        <v>9.3561983581112003</v>
      </c>
      <c r="I54" s="16">
        <f t="shared" si="8"/>
        <v>11.471501205791684</v>
      </c>
      <c r="J54" s="16">
        <f t="shared" si="9"/>
        <v>11.327207747746401</v>
      </c>
      <c r="K54" s="16">
        <f t="shared" si="10"/>
        <v>9.6154787600505021</v>
      </c>
      <c r="L54" s="16">
        <f t="shared" si="11"/>
        <v>10.9616977597982</v>
      </c>
      <c r="M54" s="16">
        <f t="shared" si="12"/>
        <v>9.3561983581112003</v>
      </c>
      <c r="N54" s="17">
        <f t="shared" si="13"/>
        <v>1.1316889332683041E-2</v>
      </c>
    </row>
    <row r="55" spans="1:14" x14ac:dyDescent="0.25">
      <c r="A55" s="7">
        <v>41244</v>
      </c>
      <c r="B55" s="3">
        <v>101835.8</v>
      </c>
      <c r="C55" s="3">
        <v>86717.4</v>
      </c>
      <c r="D55" s="3">
        <v>16138.700000000019</v>
      </c>
      <c r="E55" s="12">
        <v>0.98023376805888573</v>
      </c>
      <c r="F55" s="12">
        <f t="shared" si="4"/>
        <v>7.9917706236170699E-3</v>
      </c>
      <c r="G55" s="12">
        <v>62962.074468055696</v>
      </c>
      <c r="H55" s="19">
        <v>8.9445005398861408</v>
      </c>
      <c r="I55" s="16">
        <f t="shared" si="8"/>
        <v>11.531116991218241</v>
      </c>
      <c r="J55" s="16">
        <f t="shared" si="9"/>
        <v>11.370409834674202</v>
      </c>
      <c r="K55" s="16">
        <f t="shared" si="10"/>
        <v>9.6889753933507556</v>
      </c>
      <c r="L55" s="16">
        <f t="shared" si="11"/>
        <v>11.070252028460631</v>
      </c>
      <c r="M55" s="16">
        <f t="shared" si="12"/>
        <v>8.9445005398861408</v>
      </c>
      <c r="N55" s="17">
        <f t="shared" si="13"/>
        <v>7.9917706236170699E-3</v>
      </c>
    </row>
    <row r="56" spans="1:14" x14ac:dyDescent="0.25">
      <c r="A56" s="7">
        <v>41334</v>
      </c>
      <c r="B56" s="4">
        <v>103834.61328212944</v>
      </c>
      <c r="C56" s="9">
        <v>85731.610787916201</v>
      </c>
      <c r="D56" s="9">
        <v>19209.621980287771</v>
      </c>
      <c r="E56" s="14">
        <v>0.99879183377128389</v>
      </c>
      <c r="F56" s="14">
        <f t="shared" si="4"/>
        <v>1.8755300277879302E-2</v>
      </c>
      <c r="G56" s="14">
        <v>62295.789220606312</v>
      </c>
      <c r="H56" s="18">
        <v>8.6313946324642092</v>
      </c>
      <c r="I56" s="16">
        <f t="shared" si="8"/>
        <v>11.550554655420257</v>
      </c>
      <c r="J56" s="16">
        <f t="shared" si="9"/>
        <v>11.358976890577313</v>
      </c>
      <c r="K56" s="16">
        <f t="shared" si="10"/>
        <v>9.8631665772914072</v>
      </c>
      <c r="L56" s="16">
        <f t="shared" si="11"/>
        <v>11.040858010386915</v>
      </c>
      <c r="M56" s="16">
        <f t="shared" si="12"/>
        <v>8.6313946324642092</v>
      </c>
      <c r="N56" s="17">
        <f t="shared" si="13"/>
        <v>1.8755300277879302E-2</v>
      </c>
    </row>
    <row r="57" spans="1:14" x14ac:dyDescent="0.25">
      <c r="A57" s="7">
        <v>41426</v>
      </c>
      <c r="B57" s="4">
        <v>102176.62737803382</v>
      </c>
      <c r="C57" s="9">
        <v>88630.942865951962</v>
      </c>
      <c r="D57" s="9">
        <v>14860.479331162496</v>
      </c>
      <c r="E57" s="14">
        <v>0.99007108865706905</v>
      </c>
      <c r="F57" s="14">
        <f t="shared" si="4"/>
        <v>-8.7696350572617193E-3</v>
      </c>
      <c r="G57" s="14">
        <v>60780.707892032951</v>
      </c>
      <c r="H57" s="18">
        <v>8.9623738886928095</v>
      </c>
      <c r="I57" s="16">
        <f t="shared" si="8"/>
        <v>11.534458235665891</v>
      </c>
      <c r="J57" s="16">
        <f t="shared" si="9"/>
        <v>11.39223631790165</v>
      </c>
      <c r="K57" s="16">
        <f t="shared" si="10"/>
        <v>9.6064605742227531</v>
      </c>
      <c r="L57" s="16">
        <f t="shared" si="11"/>
        <v>11.02500624490238</v>
      </c>
      <c r="M57" s="16">
        <f t="shared" si="12"/>
        <v>8.9623738886928095</v>
      </c>
      <c r="N57" s="17">
        <f t="shared" si="13"/>
        <v>-8.7696350572617193E-3</v>
      </c>
    </row>
    <row r="58" spans="1:14" x14ac:dyDescent="0.25">
      <c r="A58" s="7">
        <v>41518</v>
      </c>
      <c r="B58" s="4">
        <v>102217.26067100436</v>
      </c>
      <c r="C58" s="9">
        <v>89423.325593320158</v>
      </c>
      <c r="D58" s="9">
        <v>15656.970485837903</v>
      </c>
      <c r="E58" s="14">
        <v>0.99848364507104093</v>
      </c>
      <c r="F58" s="14">
        <f t="shared" si="4"/>
        <v>8.461025948549708E-3</v>
      </c>
      <c r="G58" s="14">
        <v>60557.254229279773</v>
      </c>
      <c r="H58" s="18">
        <v>8.7923619760636296</v>
      </c>
      <c r="I58" s="16">
        <f t="shared" si="8"/>
        <v>11.534855833596962</v>
      </c>
      <c r="J58" s="16">
        <f t="shared" si="9"/>
        <v>11.401136839806771</v>
      </c>
      <c r="K58" s="16">
        <f t="shared" si="10"/>
        <v>9.6586714952639454</v>
      </c>
      <c r="L58" s="16">
        <f t="shared" si="11"/>
        <v>11.012862053167039</v>
      </c>
      <c r="M58" s="16">
        <f t="shared" si="12"/>
        <v>8.7923619760636296</v>
      </c>
      <c r="N58" s="17">
        <f t="shared" si="13"/>
        <v>8.461025948549708E-3</v>
      </c>
    </row>
    <row r="59" spans="1:14" x14ac:dyDescent="0.25">
      <c r="A59" s="7">
        <v>41609</v>
      </c>
      <c r="B59" s="5">
        <v>108154.71896872981</v>
      </c>
      <c r="C59" s="10">
        <v>92464.669057868043</v>
      </c>
      <c r="D59" s="10">
        <v>16238.967237426115</v>
      </c>
      <c r="E59" s="15">
        <v>1.0122182548322931</v>
      </c>
      <c r="F59" s="15">
        <f t="shared" si="4"/>
        <v>1.3661720201474253E-2</v>
      </c>
      <c r="G59" s="15">
        <v>65257.965735875558</v>
      </c>
      <c r="H59" s="18">
        <v>8.5190096239549202</v>
      </c>
      <c r="I59" s="16">
        <f t="shared" si="8"/>
        <v>11.591318063982039</v>
      </c>
      <c r="J59" s="16">
        <f t="shared" si="9"/>
        <v>11.434581894405538</v>
      </c>
      <c r="K59" s="16">
        <f t="shared" si="10"/>
        <v>9.6951690179389516</v>
      </c>
      <c r="L59" s="16">
        <f t="shared" si="11"/>
        <v>11.073959183534202</v>
      </c>
      <c r="M59" s="16">
        <f t="shared" si="12"/>
        <v>8.5190096239549202</v>
      </c>
      <c r="N59" s="17">
        <f t="shared" si="13"/>
        <v>1.3661720201474253E-2</v>
      </c>
    </row>
    <row r="60" spans="1:14" x14ac:dyDescent="0.25">
      <c r="A60" s="7">
        <v>41699</v>
      </c>
      <c r="B60" s="6">
        <v>109523.98327054501</v>
      </c>
      <c r="C60" s="3">
        <v>91248.715806737629</v>
      </c>
      <c r="D60" s="3">
        <v>19225.424130476786</v>
      </c>
      <c r="E60" s="12">
        <v>1.0113994161487119</v>
      </c>
      <c r="F60" s="12">
        <f t="shared" si="4"/>
        <v>-8.0928204968180179E-4</v>
      </c>
      <c r="G60" s="12">
        <v>63267.648211044987</v>
      </c>
      <c r="H60" s="19">
        <v>8.68069275285157</v>
      </c>
      <c r="I60" s="16">
        <f t="shared" si="8"/>
        <v>11.603898829557934</v>
      </c>
      <c r="J60" s="16">
        <f t="shared" si="9"/>
        <v>11.421344197994888</v>
      </c>
      <c r="K60" s="16">
        <f t="shared" si="10"/>
        <v>9.8639888555337087</v>
      </c>
      <c r="L60" s="16">
        <f t="shared" si="11"/>
        <v>11.043794458376412</v>
      </c>
      <c r="M60" s="16">
        <f t="shared" si="12"/>
        <v>8.68069275285157</v>
      </c>
      <c r="N60" s="17">
        <f t="shared" si="13"/>
        <v>-8.0928204968180179E-4</v>
      </c>
    </row>
    <row r="61" spans="1:14" x14ac:dyDescent="0.25">
      <c r="A61" s="7">
        <v>41791</v>
      </c>
      <c r="B61" s="6">
        <v>109403.88261993346</v>
      </c>
      <c r="C61" s="3">
        <v>94483.355224443207</v>
      </c>
      <c r="D61" s="3">
        <v>15522.605931908864</v>
      </c>
      <c r="E61" s="12">
        <v>1.0162943124634078</v>
      </c>
      <c r="F61" s="12">
        <f t="shared" si="4"/>
        <v>4.828052436119723E-3</v>
      </c>
      <c r="G61" s="12">
        <v>64062.241225534235</v>
      </c>
      <c r="H61" s="19">
        <v>8.6543503930022503</v>
      </c>
      <c r="I61" s="16">
        <f t="shared" si="8"/>
        <v>11.602801658467621</v>
      </c>
      <c r="J61" s="16">
        <f t="shared" si="9"/>
        <v>11.456178962777132</v>
      </c>
      <c r="K61" s="16">
        <f t="shared" si="10"/>
        <v>9.6500526876260597</v>
      </c>
      <c r="L61" s="16">
        <f t="shared" si="11"/>
        <v>11.051447424071117</v>
      </c>
      <c r="M61" s="16">
        <f t="shared" si="12"/>
        <v>8.6543503930022503</v>
      </c>
      <c r="N61" s="17">
        <f t="shared" si="13"/>
        <v>4.828052436119723E-3</v>
      </c>
    </row>
    <row r="62" spans="1:14" x14ac:dyDescent="0.25">
      <c r="A62" s="7">
        <v>41883</v>
      </c>
      <c r="B62" s="6">
        <v>111334.45769396168</v>
      </c>
      <c r="C62" s="3">
        <v>96950.876846475105</v>
      </c>
      <c r="D62" s="3">
        <v>15409.057989794717</v>
      </c>
      <c r="E62" s="12">
        <v>1.0426249576066378</v>
      </c>
      <c r="F62" s="12">
        <f t="shared" si="4"/>
        <v>2.5578546090124454E-2</v>
      </c>
      <c r="G62" s="12">
        <v>63880.20082100678</v>
      </c>
      <c r="H62" s="19">
        <v>8.5517764151456603</v>
      </c>
      <c r="I62" s="16">
        <f t="shared" si="8"/>
        <v>11.620294082287293</v>
      </c>
      <c r="J62" s="16">
        <f t="shared" si="9"/>
        <v>11.4819597049463</v>
      </c>
      <c r="K62" s="16">
        <f t="shared" si="10"/>
        <v>9.6427107966464849</v>
      </c>
      <c r="L62" s="16">
        <f t="shared" si="11"/>
        <v>11.023023215127301</v>
      </c>
      <c r="M62" s="16">
        <f t="shared" si="12"/>
        <v>8.5517764151456603</v>
      </c>
      <c r="N62" s="17">
        <f t="shared" si="13"/>
        <v>2.5578546090124454E-2</v>
      </c>
    </row>
    <row r="63" spans="1:14" x14ac:dyDescent="0.25">
      <c r="A63" s="7">
        <v>41974</v>
      </c>
      <c r="B63" s="6">
        <v>117064.0026355973</v>
      </c>
      <c r="C63" s="3">
        <v>98743.291212578697</v>
      </c>
      <c r="D63" s="3">
        <v>17260.188822276257</v>
      </c>
      <c r="E63" s="12">
        <v>1.0436766931546104</v>
      </c>
      <c r="F63" s="12">
        <f t="shared" si="4"/>
        <v>1.0082296936131455E-3</v>
      </c>
      <c r="G63" s="12">
        <v>69800.818420934345</v>
      </c>
      <c r="H63" s="19">
        <v>8.4033172447639704</v>
      </c>
      <c r="I63" s="16">
        <f t="shared" si="8"/>
        <v>11.670476095286419</v>
      </c>
      <c r="J63" s="16">
        <f t="shared" si="9"/>
        <v>11.50027874336773</v>
      </c>
      <c r="K63" s="16">
        <f t="shared" si="10"/>
        <v>9.7561579044545343</v>
      </c>
      <c r="L63" s="16">
        <f t="shared" si="11"/>
        <v>11.110651253296979</v>
      </c>
      <c r="M63" s="16">
        <f t="shared" si="12"/>
        <v>8.4033172447639704</v>
      </c>
      <c r="N63" s="17">
        <f t="shared" si="13"/>
        <v>1.0082296936131455E-3</v>
      </c>
    </row>
    <row r="64" spans="1:14" x14ac:dyDescent="0.25">
      <c r="A64" s="7">
        <v>42064</v>
      </c>
      <c r="B64" s="4">
        <v>117896.90581660977</v>
      </c>
      <c r="C64" s="9">
        <v>96635.612511329455</v>
      </c>
      <c r="D64" s="9">
        <v>19092.309846830212</v>
      </c>
      <c r="E64" s="14">
        <v>1.0401720398574854</v>
      </c>
      <c r="F64" s="14">
        <f t="shared" si="4"/>
        <v>-3.3636382007254731E-3</v>
      </c>
      <c r="G64" s="14">
        <v>71207.527733717201</v>
      </c>
      <c r="H64" s="18">
        <v>7.8348678806347598</v>
      </c>
      <c r="I64" s="16">
        <f t="shared" si="8"/>
        <v>11.67756584204715</v>
      </c>
      <c r="J64" s="16">
        <f t="shared" si="9"/>
        <v>11.478702611799951</v>
      </c>
      <c r="K64" s="16">
        <f t="shared" si="10"/>
        <v>9.8570409071387743</v>
      </c>
      <c r="L64" s="16">
        <f t="shared" si="11"/>
        <v>11.133967695996251</v>
      </c>
      <c r="M64" s="16">
        <f t="shared" si="12"/>
        <v>7.8348678806347598</v>
      </c>
      <c r="N64" s="17">
        <f t="shared" si="13"/>
        <v>-3.3636382007254731E-3</v>
      </c>
    </row>
    <row r="65" spans="1:14" x14ac:dyDescent="0.25">
      <c r="A65" s="7">
        <v>42156</v>
      </c>
      <c r="B65" s="4">
        <v>116183.78735294603</v>
      </c>
      <c r="C65" s="9">
        <v>98920.096490826923</v>
      </c>
      <c r="D65" s="9">
        <v>15711.144082161012</v>
      </c>
      <c r="E65" s="14">
        <v>1.0465488752559784</v>
      </c>
      <c r="F65" s="14">
        <f t="shared" si="4"/>
        <v>6.1118429423432097E-3</v>
      </c>
      <c r="G65" s="14">
        <v>72542.550084376096</v>
      </c>
      <c r="H65" s="18">
        <v>7.9485450859074298</v>
      </c>
      <c r="I65" s="16">
        <f t="shared" si="8"/>
        <v>11.66292859002488</v>
      </c>
      <c r="J65" s="16">
        <f t="shared" si="9"/>
        <v>11.502067697077932</v>
      </c>
      <c r="K65" s="16">
        <f t="shared" si="10"/>
        <v>9.662125553687865</v>
      </c>
      <c r="L65" s="16">
        <f t="shared" si="11"/>
        <v>11.146430601046541</v>
      </c>
      <c r="M65" s="16">
        <f t="shared" si="12"/>
        <v>7.9485450859074298</v>
      </c>
      <c r="N65" s="17">
        <f t="shared" si="13"/>
        <v>6.1118429423432097E-3</v>
      </c>
    </row>
    <row r="66" spans="1:14" x14ac:dyDescent="0.25">
      <c r="A66" s="7">
        <v>42248</v>
      </c>
      <c r="B66" s="4">
        <v>118716.68847315625</v>
      </c>
      <c r="C66" s="9">
        <v>101467.0956369284</v>
      </c>
      <c r="D66" s="9">
        <v>17716.650491723118</v>
      </c>
      <c r="E66" s="14">
        <v>1.0596357541102364</v>
      </c>
      <c r="F66" s="14">
        <f t="shared" si="4"/>
        <v>1.2427255517739093E-2</v>
      </c>
      <c r="G66" s="14">
        <v>71184.613845085041</v>
      </c>
      <c r="H66" s="18">
        <v>8.1372969382362701</v>
      </c>
      <c r="I66" s="16">
        <f t="shared" si="8"/>
        <v>11.684495164423531</v>
      </c>
      <c r="J66" s="16">
        <f t="shared" si="9"/>
        <v>11.527489843989025</v>
      </c>
      <c r="K66" s="16">
        <f t="shared" si="10"/>
        <v>9.7822601821226272</v>
      </c>
      <c r="L66" s="16">
        <f t="shared" si="11"/>
        <v>11.115106755493821</v>
      </c>
      <c r="M66" s="16">
        <f t="shared" si="12"/>
        <v>8.1372969382362701</v>
      </c>
      <c r="N66" s="17">
        <f t="shared" si="13"/>
        <v>1.2427255517739093E-2</v>
      </c>
    </row>
    <row r="67" spans="1:14" x14ac:dyDescent="0.25">
      <c r="A67" s="7">
        <v>42339</v>
      </c>
      <c r="B67" s="5">
        <v>123225.43965848151</v>
      </c>
      <c r="C67" s="10">
        <v>104347.13817290701</v>
      </c>
      <c r="D67" s="10">
        <v>18065.297809706102</v>
      </c>
      <c r="E67" s="15">
        <v>1.059653950255008</v>
      </c>
      <c r="F67" s="15">
        <f t="shared" si="4"/>
        <v>1.7171927683669319E-5</v>
      </c>
      <c r="G67" s="15">
        <v>76929.292966114619</v>
      </c>
      <c r="H67" s="18">
        <v>7.9060090195786303</v>
      </c>
      <c r="I67" s="16">
        <f t="shared" si="8"/>
        <v>11.721770799499707</v>
      </c>
      <c r="J67" s="16">
        <f t="shared" si="9"/>
        <v>11.555478486857652</v>
      </c>
      <c r="K67" s="16">
        <f t="shared" si="10"/>
        <v>9.801748128898728</v>
      </c>
      <c r="L67" s="16">
        <f t="shared" si="11"/>
        <v>11.19269961299732</v>
      </c>
      <c r="M67" s="16">
        <f t="shared" si="12"/>
        <v>7.9060090195786303</v>
      </c>
      <c r="N67" s="17">
        <f t="shared" si="13"/>
        <v>1.7171927683669319E-5</v>
      </c>
    </row>
    <row r="68" spans="1:14" x14ac:dyDescent="0.25">
      <c r="A68" s="7">
        <v>42430</v>
      </c>
      <c r="B68" s="6">
        <v>123838.47188172153</v>
      </c>
      <c r="C68" s="3">
        <v>102827.45311863284</v>
      </c>
      <c r="D68" s="3">
        <v>18181.942692999492</v>
      </c>
      <c r="E68" s="12">
        <v>1.0745847242912656</v>
      </c>
      <c r="F68" s="12">
        <f t="shared" si="4"/>
        <v>1.3991891160466008E-2</v>
      </c>
      <c r="G68" s="12">
        <v>76054.912345769219</v>
      </c>
      <c r="H68" s="19">
        <v>7.89309923775029</v>
      </c>
      <c r="I68" s="16">
        <f t="shared" si="8"/>
        <v>11.72673334929104</v>
      </c>
      <c r="J68" s="16">
        <f t="shared" si="9"/>
        <v>11.540807650033914</v>
      </c>
      <c r="K68" s="16">
        <f t="shared" si="10"/>
        <v>9.8081842208233265</v>
      </c>
      <c r="L68" s="16">
        <f t="shared" si="11"/>
        <v>11.167276605273553</v>
      </c>
      <c r="M68" s="16">
        <f t="shared" si="12"/>
        <v>7.89309923775029</v>
      </c>
      <c r="N68" s="17">
        <f t="shared" si="13"/>
        <v>1.3991891160466008E-2</v>
      </c>
    </row>
    <row r="69" spans="1:14" x14ac:dyDescent="0.25">
      <c r="A69" s="7">
        <v>42522</v>
      </c>
      <c r="B69" s="6">
        <v>122799.31957617703</v>
      </c>
      <c r="C69" s="3">
        <v>105141.61409436088</v>
      </c>
      <c r="D69" s="3">
        <v>17350.132572859759</v>
      </c>
      <c r="E69" s="12">
        <v>1.066648603866746</v>
      </c>
      <c r="F69" s="12">
        <f t="shared" si="4"/>
        <v>-7.4126968412714517E-3</v>
      </c>
      <c r="G69" s="12">
        <v>76033.312681569136</v>
      </c>
      <c r="H69" s="19">
        <v>8.1456988613266699</v>
      </c>
      <c r="I69" s="16">
        <f t="shared" si="8"/>
        <v>11.718306753769218</v>
      </c>
      <c r="J69" s="16">
        <f t="shared" si="9"/>
        <v>11.563063426113702</v>
      </c>
      <c r="K69" s="16">
        <f t="shared" si="10"/>
        <v>9.7613554264328304</v>
      </c>
      <c r="L69" s="16">
        <f t="shared" si="11"/>
        <v>11.174405260870456</v>
      </c>
      <c r="M69" s="16">
        <f t="shared" si="12"/>
        <v>8.1456988613266699</v>
      </c>
      <c r="N69" s="17">
        <f t="shared" si="13"/>
        <v>-7.4126968412714517E-3</v>
      </c>
    </row>
    <row r="70" spans="1:14" x14ac:dyDescent="0.25">
      <c r="A70" s="7">
        <v>42614</v>
      </c>
      <c r="B70" s="6">
        <v>124518.11068548216</v>
      </c>
      <c r="C70" s="3">
        <v>106775.97846061067</v>
      </c>
      <c r="D70" s="3">
        <v>15801.243565057759</v>
      </c>
      <c r="E70" s="12">
        <v>1.0888797715815748</v>
      </c>
      <c r="F70" s="12">
        <f t="shared" si="4"/>
        <v>2.0627848148657646E-2</v>
      </c>
      <c r="G70" s="12">
        <v>75433.59340204022</v>
      </c>
      <c r="H70" s="19">
        <v>8.7550434813271991</v>
      </c>
      <c r="I70" s="16">
        <f t="shared" si="8"/>
        <v>11.73220645166082</v>
      </c>
      <c r="J70" s="16">
        <f t="shared" si="9"/>
        <v>11.57848825942896</v>
      </c>
      <c r="K70" s="16">
        <f t="shared" si="10"/>
        <v>9.6678439225670783</v>
      </c>
      <c r="L70" s="16">
        <f t="shared" si="11"/>
        <v>11.14585855534258</v>
      </c>
      <c r="M70" s="16">
        <f t="shared" si="12"/>
        <v>8.7550434813271991</v>
      </c>
      <c r="N70" s="17">
        <f t="shared" si="13"/>
        <v>2.0627848148657646E-2</v>
      </c>
    </row>
    <row r="71" spans="1:14" x14ac:dyDescent="0.25">
      <c r="A71" s="7">
        <v>42705</v>
      </c>
      <c r="B71" s="6">
        <v>130845.80210395958</v>
      </c>
      <c r="C71" s="3">
        <v>109768.86885855472</v>
      </c>
      <c r="D71" s="3">
        <v>18254.000579243908</v>
      </c>
      <c r="E71" s="12">
        <v>1.0896392464359874</v>
      </c>
      <c r="F71" s="12">
        <f t="shared" si="4"/>
        <v>6.9723961911660748E-4</v>
      </c>
      <c r="G71" s="12">
        <v>81587.253201627449</v>
      </c>
      <c r="H71" s="19">
        <v>7.9849046659571101</v>
      </c>
      <c r="I71" s="16">
        <f t="shared" si="8"/>
        <v>11.7817748257009</v>
      </c>
      <c r="J71" s="16">
        <f t="shared" si="9"/>
        <v>11.606132241978134</v>
      </c>
      <c r="K71" s="16">
        <f t="shared" si="10"/>
        <v>9.8121395448092592</v>
      </c>
      <c r="L71" s="16">
        <f t="shared" si="11"/>
        <v>11.223581643098616</v>
      </c>
      <c r="M71" s="16">
        <f t="shared" si="12"/>
        <v>7.9849046659571101</v>
      </c>
      <c r="N71" s="17">
        <f t="shared" si="13"/>
        <v>6.9723961911660748E-4</v>
      </c>
    </row>
    <row r="72" spans="1:14" x14ac:dyDescent="0.25">
      <c r="A72" s="7">
        <v>42795</v>
      </c>
      <c r="B72" s="4">
        <v>131682.69412945278</v>
      </c>
      <c r="C72" s="9">
        <v>108265.28522916388</v>
      </c>
      <c r="D72" s="9">
        <v>20417.587608420712</v>
      </c>
      <c r="E72" s="14">
        <v>1.0911630775580652</v>
      </c>
      <c r="F72" s="14">
        <f t="shared" si="4"/>
        <v>1.3974960988576424E-3</v>
      </c>
      <c r="G72" s="14">
        <v>80132.621796812615</v>
      </c>
      <c r="H72" s="18">
        <v>7.8611055657799298</v>
      </c>
      <c r="I72" s="16">
        <f t="shared" si="8"/>
        <v>11.788150475372415</v>
      </c>
      <c r="J72" s="16">
        <f t="shared" si="9"/>
        <v>11.592339838937301</v>
      </c>
      <c r="K72" s="16">
        <f t="shared" si="10"/>
        <v>9.9241519460727758</v>
      </c>
      <c r="L72" s="16">
        <f t="shared" si="11"/>
        <v>11.204194142542264</v>
      </c>
      <c r="M72" s="16">
        <f t="shared" si="12"/>
        <v>7.8611055657799298</v>
      </c>
      <c r="N72" s="17">
        <f t="shared" si="13"/>
        <v>1.3974960988576424E-3</v>
      </c>
    </row>
    <row r="73" spans="1:14" x14ac:dyDescent="0.25">
      <c r="A73" s="7">
        <v>42887</v>
      </c>
      <c r="B73" s="4">
        <v>127650.30538677528</v>
      </c>
      <c r="C73" s="9">
        <v>109436.68822627717</v>
      </c>
      <c r="D73" s="9">
        <v>16082.268520573234</v>
      </c>
      <c r="E73" s="14">
        <v>1.0818585148978153</v>
      </c>
      <c r="F73" s="14">
        <f t="shared" si="4"/>
        <v>-8.5637616831136243E-3</v>
      </c>
      <c r="G73" s="14">
        <v>82078.684527219943</v>
      </c>
      <c r="H73" s="18">
        <v>7.7767593827781401</v>
      </c>
      <c r="I73" s="16">
        <f t="shared" si="8"/>
        <v>11.757049815042603</v>
      </c>
      <c r="J73" s="16">
        <f t="shared" si="9"/>
        <v>11.603101471308198</v>
      </c>
      <c r="K73" s="16">
        <f t="shared" si="10"/>
        <v>9.6854726099325887</v>
      </c>
      <c r="L73" s="16">
        <f t="shared" si="11"/>
        <v>11.236753224258226</v>
      </c>
      <c r="M73" s="16">
        <f t="shared" si="12"/>
        <v>7.7767593827781401</v>
      </c>
      <c r="N73" s="17">
        <f t="shared" si="13"/>
        <v>-8.5637616831136243E-3</v>
      </c>
    </row>
    <row r="74" spans="1:14" x14ac:dyDescent="0.25">
      <c r="A74" s="7">
        <v>42979</v>
      </c>
      <c r="B74" s="4">
        <v>130291.75435857804</v>
      </c>
      <c r="C74" s="9">
        <v>112095.83049571697</v>
      </c>
      <c r="D74" s="9">
        <v>16622.964582915862</v>
      </c>
      <c r="E74" s="14">
        <v>1.105046834937796</v>
      </c>
      <c r="F74" s="14">
        <f t="shared" ref="F74:F100" si="14">LN(E74)-LN(E73)</f>
        <v>2.1207309327823359E-2</v>
      </c>
      <c r="G74" s="14">
        <v>82403.668107169171</v>
      </c>
      <c r="H74" s="18">
        <v>8.0415835924604906</v>
      </c>
      <c r="I74" s="16">
        <f t="shared" si="8"/>
        <v>11.777531479134938</v>
      </c>
      <c r="J74" s="16">
        <f t="shared" si="9"/>
        <v>11.627109413861087</v>
      </c>
      <c r="K74" s="16">
        <f t="shared" si="10"/>
        <v>9.7185404269259497</v>
      </c>
      <c r="L74" s="16">
        <f t="shared" si="11"/>
        <v>11.219497512139856</v>
      </c>
      <c r="M74" s="16">
        <f t="shared" si="12"/>
        <v>8.0415835924604906</v>
      </c>
      <c r="N74" s="17">
        <f t="shared" si="13"/>
        <v>2.1207309327823359E-2</v>
      </c>
    </row>
    <row r="75" spans="1:14" x14ac:dyDescent="0.25">
      <c r="A75" s="7">
        <v>43070</v>
      </c>
      <c r="B75" s="5">
        <v>136882.6603991228</v>
      </c>
      <c r="C75" s="10">
        <v>117261.73911984015</v>
      </c>
      <c r="D75" s="10">
        <v>18461.687895343879</v>
      </c>
      <c r="E75" s="15">
        <v>1.1170264789266096</v>
      </c>
      <c r="F75" s="15">
        <f t="shared" si="14"/>
        <v>1.0782506570840955E-2</v>
      </c>
      <c r="G75" s="15">
        <v>89788.101262790849</v>
      </c>
      <c r="H75" s="18">
        <v>7.9394566684631398</v>
      </c>
      <c r="I75" s="16">
        <f t="shared" si="8"/>
        <v>11.826879344373127</v>
      </c>
      <c r="J75" s="16">
        <f t="shared" si="9"/>
        <v>11.672163801721887</v>
      </c>
      <c r="K75" s="16">
        <f t="shared" si="10"/>
        <v>9.8234529391609602</v>
      </c>
      <c r="L75" s="16">
        <f t="shared" si="11"/>
        <v>11.294537517668063</v>
      </c>
      <c r="M75" s="16">
        <f t="shared" si="12"/>
        <v>7.9394566684631398</v>
      </c>
      <c r="N75" s="17">
        <f t="shared" si="13"/>
        <v>1.0782506570840955E-2</v>
      </c>
    </row>
    <row r="76" spans="1:14" x14ac:dyDescent="0.25">
      <c r="A76" s="7">
        <v>43160</v>
      </c>
      <c r="B76" s="6">
        <v>136948.24724145664</v>
      </c>
      <c r="C76" s="3">
        <v>113161.6464689101</v>
      </c>
      <c r="D76" s="3">
        <v>21247.342127363154</v>
      </c>
      <c r="E76" s="12">
        <v>1.1048649040465399</v>
      </c>
      <c r="F76" s="12">
        <f t="shared" si="14"/>
        <v>-1.0947156487358153E-2</v>
      </c>
      <c r="G76" s="12">
        <v>88996.900753026042</v>
      </c>
      <c r="H76" s="19">
        <v>8.2112351370124905</v>
      </c>
      <c r="I76" s="16">
        <f t="shared" si="8"/>
        <v>11.827358376080346</v>
      </c>
      <c r="J76" s="16">
        <f t="shared" si="9"/>
        <v>11.636572575229327</v>
      </c>
      <c r="K76" s="16">
        <f t="shared" si="10"/>
        <v>9.9639870901704821</v>
      </c>
      <c r="L76" s="16">
        <f t="shared" si="11"/>
        <v>11.296633756394145</v>
      </c>
      <c r="M76" s="16">
        <f t="shared" si="12"/>
        <v>8.2112351370124905</v>
      </c>
      <c r="N76" s="17">
        <f t="shared" si="13"/>
        <v>-1.0947156487358153E-2</v>
      </c>
    </row>
    <row r="77" spans="1:14" x14ac:dyDescent="0.25">
      <c r="A77" s="7">
        <v>43252</v>
      </c>
      <c r="B77" s="6">
        <v>134588.69440987415</v>
      </c>
      <c r="C77" s="3">
        <v>115969.39389594697</v>
      </c>
      <c r="D77" s="3">
        <v>19585.845660058014</v>
      </c>
      <c r="E77" s="12">
        <v>1.0939964179244128</v>
      </c>
      <c r="F77" s="12">
        <f t="shared" si="14"/>
        <v>-9.885639011788544E-3</v>
      </c>
      <c r="G77" s="12">
        <v>87646.748258236534</v>
      </c>
      <c r="H77" s="19">
        <v>8.2351296590974599</v>
      </c>
      <c r="I77" s="16">
        <f t="shared" si="8"/>
        <v>11.809978698681968</v>
      </c>
      <c r="J77" s="16">
        <f t="shared" si="9"/>
        <v>11.6610815895505</v>
      </c>
      <c r="K77" s="16">
        <f t="shared" si="10"/>
        <v>9.8825624241342016</v>
      </c>
      <c r="L77" s="16">
        <f t="shared" si="11"/>
        <v>11.291232360794444</v>
      </c>
      <c r="M77" s="16">
        <f t="shared" si="12"/>
        <v>8.2351296590974599</v>
      </c>
      <c r="N77" s="17">
        <f t="shared" si="13"/>
        <v>-9.885639011788544E-3</v>
      </c>
    </row>
    <row r="78" spans="1:14" x14ac:dyDescent="0.25">
      <c r="A78" s="7">
        <v>43344</v>
      </c>
      <c r="B78" s="6">
        <v>136449.899728611</v>
      </c>
      <c r="C78" s="3">
        <v>119179.46149293047</v>
      </c>
      <c r="D78" s="3">
        <v>17079.205036410658</v>
      </c>
      <c r="E78" s="12">
        <v>1.1181869223569874</v>
      </c>
      <c r="F78" s="12">
        <f t="shared" si="14"/>
        <v>2.1871124576782155E-2</v>
      </c>
      <c r="G78" s="12">
        <v>88357.976409372568</v>
      </c>
      <c r="H78" s="19">
        <v>8.3500275034271692</v>
      </c>
      <c r="I78" s="16">
        <f t="shared" si="8"/>
        <v>11.823712791278105</v>
      </c>
      <c r="J78" s="16">
        <f t="shared" si="9"/>
        <v>11.688385715855878</v>
      </c>
      <c r="K78" s="16">
        <f t="shared" si="10"/>
        <v>9.7456169227237019</v>
      </c>
      <c r="L78" s="16">
        <f t="shared" si="11"/>
        <v>11.277443201333291</v>
      </c>
      <c r="M78" s="16">
        <f t="shared" si="12"/>
        <v>8.3500275034271692</v>
      </c>
      <c r="N78" s="17">
        <f t="shared" si="13"/>
        <v>2.1871124576782155E-2</v>
      </c>
    </row>
    <row r="79" spans="1:14" x14ac:dyDescent="0.25">
      <c r="A79" s="7">
        <v>43435</v>
      </c>
      <c r="B79" s="6">
        <v>143381.24075472844</v>
      </c>
      <c r="C79" s="3">
        <v>124555.70534841166</v>
      </c>
      <c r="D79" s="3">
        <v>18123.601196707925</v>
      </c>
      <c r="E79" s="12">
        <v>1.1339772266809123</v>
      </c>
      <c r="F79" s="12">
        <f t="shared" si="14"/>
        <v>1.4022568532860033E-2</v>
      </c>
      <c r="G79" s="12">
        <v>97450.367784659873</v>
      </c>
      <c r="H79" s="19">
        <v>7.7280730428293802</v>
      </c>
      <c r="I79" s="16">
        <f t="shared" si="8"/>
        <v>11.873262380980304</v>
      </c>
      <c r="J79" s="16">
        <f t="shared" si="9"/>
        <v>11.732508327336181</v>
      </c>
      <c r="K79" s="16">
        <f t="shared" si="10"/>
        <v>9.8049703013906591</v>
      </c>
      <c r="L79" s="16">
        <f t="shared" si="11"/>
        <v>11.361367356202427</v>
      </c>
      <c r="M79" s="16">
        <f t="shared" si="12"/>
        <v>7.7280730428293802</v>
      </c>
      <c r="N79" s="17">
        <f t="shared" si="13"/>
        <v>1.4022568532860033E-2</v>
      </c>
    </row>
    <row r="80" spans="1:14" x14ac:dyDescent="0.25">
      <c r="A80" s="7">
        <v>43525</v>
      </c>
      <c r="B80" s="4">
        <v>144926.82635059531</v>
      </c>
      <c r="C80" s="9">
        <v>121527.26798397966</v>
      </c>
      <c r="D80" s="9">
        <v>23014.931586970029</v>
      </c>
      <c r="E80" s="14">
        <v>1.127320204513812</v>
      </c>
      <c r="F80" s="14">
        <f t="shared" si="14"/>
        <v>-5.8878069788014797E-3</v>
      </c>
      <c r="G80" s="14">
        <v>96639.195436560767</v>
      </c>
      <c r="H80" s="18">
        <v>8.0068698938023797</v>
      </c>
      <c r="I80" s="16">
        <f t="shared" ref="I80:I100" si="15">LN(B80)</f>
        <v>11.883984248168172</v>
      </c>
      <c r="J80" s="16">
        <f t="shared" ref="J80:J100" si="16">LN(C80)</f>
        <v>11.707893944434261</v>
      </c>
      <c r="K80" s="16">
        <f t="shared" ref="K80:K100" si="17">LN(D80)</f>
        <v>10.043898483705973</v>
      </c>
      <c r="L80" s="16">
        <f t="shared" ref="L80:L100" si="18">LN(G80)-LN(E80)</f>
        <v>11.358896371934129</v>
      </c>
      <c r="M80" s="16">
        <f t="shared" ref="M80:M100" si="19">H80</f>
        <v>8.0068698938023797</v>
      </c>
      <c r="N80" s="17">
        <f t="shared" ref="N80:N100" si="20">F80</f>
        <v>-5.8878069788014797E-3</v>
      </c>
    </row>
    <row r="81" spans="1:14" x14ac:dyDescent="0.25">
      <c r="A81" s="7">
        <v>43617</v>
      </c>
      <c r="B81" s="4">
        <v>145349.1562478625</v>
      </c>
      <c r="C81" s="9">
        <v>124206.70166081155</v>
      </c>
      <c r="D81" s="9">
        <v>20854.8683050607</v>
      </c>
      <c r="E81" s="14">
        <v>1.1379008233516497</v>
      </c>
      <c r="F81" s="14">
        <f t="shared" si="14"/>
        <v>9.3418661186051299E-3</v>
      </c>
      <c r="G81" s="14">
        <v>98150.704670167426</v>
      </c>
      <c r="H81" s="18">
        <v>8.7540034203858994</v>
      </c>
      <c r="I81" s="16">
        <f t="shared" si="15"/>
        <v>11.886894101001907</v>
      </c>
      <c r="J81" s="16">
        <f t="shared" si="16"/>
        <v>11.729702405647473</v>
      </c>
      <c r="K81" s="16">
        <f t="shared" si="17"/>
        <v>9.9453426918214021</v>
      </c>
      <c r="L81" s="16">
        <f t="shared" si="18"/>
        <v>11.365074197249934</v>
      </c>
      <c r="M81" s="16">
        <f t="shared" si="19"/>
        <v>8.7540034203858994</v>
      </c>
      <c r="N81" s="17">
        <f t="shared" si="20"/>
        <v>9.3418661186051299E-3</v>
      </c>
    </row>
    <row r="82" spans="1:14" x14ac:dyDescent="0.25">
      <c r="A82" s="7">
        <v>43709</v>
      </c>
      <c r="B82" s="4">
        <v>147630.46587348008</v>
      </c>
      <c r="C82" s="9">
        <v>126417.03311798231</v>
      </c>
      <c r="D82" s="9">
        <v>19458.869503623468</v>
      </c>
      <c r="E82" s="14">
        <v>1.1628973624140488</v>
      </c>
      <c r="F82" s="14">
        <f t="shared" si="14"/>
        <v>2.1729435251825135E-2</v>
      </c>
      <c r="G82" s="14">
        <v>100012.21417011827</v>
      </c>
      <c r="H82" s="18">
        <v>12.3366610442812</v>
      </c>
      <c r="I82" s="16">
        <f t="shared" si="15"/>
        <v>11.902467578206146</v>
      </c>
      <c r="J82" s="16">
        <f t="shared" si="16"/>
        <v>11.747341507296403</v>
      </c>
      <c r="K82" s="16">
        <f t="shared" si="17"/>
        <v>9.876058260713533</v>
      </c>
      <c r="L82" s="16">
        <f t="shared" si="18"/>
        <v>11.362132982009149</v>
      </c>
      <c r="M82" s="16">
        <f t="shared" si="19"/>
        <v>12.3366610442812</v>
      </c>
      <c r="N82" s="17">
        <f t="shared" si="20"/>
        <v>2.1729435251825135E-2</v>
      </c>
    </row>
    <row r="83" spans="1:14" x14ac:dyDescent="0.25">
      <c r="A83" s="7">
        <v>43800</v>
      </c>
      <c r="B83" s="5">
        <v>156065.57140477028</v>
      </c>
      <c r="C83" s="10">
        <v>131869.59090670772</v>
      </c>
      <c r="D83" s="10">
        <v>21786.551235824645</v>
      </c>
      <c r="E83" s="15">
        <v>1.1813613063743928</v>
      </c>
      <c r="F83" s="15">
        <f t="shared" si="14"/>
        <v>1.5752805801633185E-2</v>
      </c>
      <c r="G83" s="15">
        <v>110144.0100300984</v>
      </c>
      <c r="H83" s="18">
        <v>9.7566921107834492</v>
      </c>
      <c r="I83" s="16">
        <f t="shared" si="15"/>
        <v>11.958031527435727</v>
      </c>
      <c r="J83" s="16">
        <f t="shared" si="16"/>
        <v>11.789568765550081</v>
      </c>
      <c r="K83" s="16">
        <f t="shared" si="17"/>
        <v>9.9890481426184756</v>
      </c>
      <c r="L83" s="16">
        <f t="shared" si="18"/>
        <v>11.442876547629503</v>
      </c>
      <c r="M83" s="16">
        <f t="shared" si="19"/>
        <v>9.7566921107834492</v>
      </c>
      <c r="N83" s="17">
        <f t="shared" si="20"/>
        <v>1.5752805801633185E-2</v>
      </c>
    </row>
    <row r="84" spans="1:14" x14ac:dyDescent="0.25">
      <c r="A84" s="7">
        <v>43891</v>
      </c>
      <c r="B84" s="6">
        <v>151277.94634847567</v>
      </c>
      <c r="C84" s="3">
        <v>124497.42928792465</v>
      </c>
      <c r="D84" s="3">
        <v>24344.419266887307</v>
      </c>
      <c r="E84" s="12">
        <v>1.167185730118091</v>
      </c>
      <c r="F84" s="12">
        <f t="shared" si="14"/>
        <v>-1.2071930591943558E-2</v>
      </c>
      <c r="G84" s="12">
        <v>110845.37178892274</v>
      </c>
      <c r="H84" s="19">
        <v>9.1641913962706205</v>
      </c>
      <c r="I84" s="16">
        <f t="shared" si="15"/>
        <v>11.926874128071473</v>
      </c>
      <c r="J84" s="16">
        <f t="shared" si="16"/>
        <v>11.732040346383959</v>
      </c>
      <c r="K84" s="16">
        <f t="shared" si="17"/>
        <v>10.100057914024923</v>
      </c>
      <c r="L84" s="16">
        <f t="shared" si="18"/>
        <v>11.46129596974262</v>
      </c>
      <c r="M84" s="16">
        <f t="shared" si="19"/>
        <v>9.1641913962706205</v>
      </c>
      <c r="N84" s="17">
        <f t="shared" si="20"/>
        <v>-1.2071930591943558E-2</v>
      </c>
    </row>
    <row r="85" spans="1:14" x14ac:dyDescent="0.25">
      <c r="A85" s="7">
        <v>43983</v>
      </c>
      <c r="B85" s="6">
        <v>136512.53586680448</v>
      </c>
      <c r="C85" s="3">
        <v>113987.79759164473</v>
      </c>
      <c r="D85" s="3">
        <v>17132.760379564192</v>
      </c>
      <c r="E85" s="12">
        <v>1.1776242965986194</v>
      </c>
      <c r="F85" s="12">
        <f t="shared" si="14"/>
        <v>8.9036086681861804E-3</v>
      </c>
      <c r="G85" s="12">
        <v>118380.95770879736</v>
      </c>
      <c r="H85" s="19">
        <v>9.9061521201146796</v>
      </c>
      <c r="I85" s="16">
        <f t="shared" si="15"/>
        <v>11.824171727242362</v>
      </c>
      <c r="J85" s="16">
        <f t="shared" si="16"/>
        <v>11.643846682977802</v>
      </c>
      <c r="K85" s="16">
        <f t="shared" si="17"/>
        <v>9.7487477213345208</v>
      </c>
      <c r="L85" s="16">
        <f t="shared" si="18"/>
        <v>11.518164057253852</v>
      </c>
      <c r="M85" s="16">
        <f t="shared" si="19"/>
        <v>9.9061521201146796</v>
      </c>
      <c r="N85" s="17">
        <f t="shared" si="20"/>
        <v>8.9036086681861804E-3</v>
      </c>
    </row>
    <row r="86" spans="1:14" x14ac:dyDescent="0.25">
      <c r="A86" s="7">
        <v>44075</v>
      </c>
      <c r="B86" s="6">
        <v>150141.09214716681</v>
      </c>
      <c r="C86" s="3">
        <v>126716.85393256132</v>
      </c>
      <c r="D86" s="3">
        <v>17908.847667584658</v>
      </c>
      <c r="E86" s="12">
        <v>1.1994835266270545</v>
      </c>
      <c r="F86" s="12">
        <f t="shared" si="14"/>
        <v>1.839196858876449E-2</v>
      </c>
      <c r="G86" s="12">
        <v>126919.62765286499</v>
      </c>
      <c r="H86" s="19">
        <v>10.1212107140214</v>
      </c>
      <c r="I86" s="16">
        <f t="shared" si="15"/>
        <v>11.919330745292402</v>
      </c>
      <c r="J86" s="16">
        <f t="shared" si="16"/>
        <v>11.749710379818984</v>
      </c>
      <c r="K86" s="16">
        <f t="shared" si="17"/>
        <v>9.7930501528164786</v>
      </c>
      <c r="L86" s="16">
        <f t="shared" si="18"/>
        <v>11.569418242307401</v>
      </c>
      <c r="M86" s="16">
        <f t="shared" si="19"/>
        <v>10.1212107140214</v>
      </c>
      <c r="N86" s="17">
        <f t="shared" si="20"/>
        <v>1.839196858876449E-2</v>
      </c>
    </row>
    <row r="87" spans="1:14" x14ac:dyDescent="0.25">
      <c r="A87" s="7">
        <v>44166</v>
      </c>
      <c r="B87" s="6">
        <v>162190.92656004531</v>
      </c>
      <c r="C87" s="3">
        <v>135785.47994894686</v>
      </c>
      <c r="D87" s="3">
        <v>21634.609541738315</v>
      </c>
      <c r="E87" s="12">
        <v>1.1974594329121107</v>
      </c>
      <c r="F87" s="12">
        <f t="shared" si="14"/>
        <v>-1.6888964236805859E-3</v>
      </c>
      <c r="G87" s="12">
        <v>137937.22567262503</v>
      </c>
      <c r="H87" s="19">
        <v>7.1726921640728696</v>
      </c>
      <c r="I87" s="16">
        <f t="shared" si="15"/>
        <v>11.996529479271665</v>
      </c>
      <c r="J87" s="16">
        <f t="shared" si="16"/>
        <v>11.818831566070156</v>
      </c>
      <c r="K87" s="16">
        <f t="shared" si="17"/>
        <v>9.9820496049684309</v>
      </c>
      <c r="L87" s="16">
        <f t="shared" si="18"/>
        <v>11.654351800970337</v>
      </c>
      <c r="M87" s="16">
        <f t="shared" si="19"/>
        <v>7.1726921640728696</v>
      </c>
      <c r="N87" s="17">
        <f t="shared" si="20"/>
        <v>-1.6888964236805859E-3</v>
      </c>
    </row>
    <row r="88" spans="1:14" x14ac:dyDescent="0.25">
      <c r="A88" s="7">
        <v>44256</v>
      </c>
      <c r="B88" s="4">
        <v>162873.72104499085</v>
      </c>
      <c r="C88" s="9">
        <v>137035.26691896954</v>
      </c>
      <c r="D88" s="9">
        <v>27459.674275665257</v>
      </c>
      <c r="E88" s="14">
        <v>1.2027638247482364</v>
      </c>
      <c r="F88" s="14">
        <f t="shared" si="14"/>
        <v>4.4199225673011988E-3</v>
      </c>
      <c r="G88" s="14">
        <v>137217.62290344242</v>
      </c>
      <c r="H88" s="18">
        <v>7.0223701064507198</v>
      </c>
      <c r="I88" s="16">
        <f t="shared" si="15"/>
        <v>12.00073046202481</v>
      </c>
      <c r="J88" s="16">
        <f t="shared" si="16"/>
        <v>11.827993594448907</v>
      </c>
      <c r="K88" s="16">
        <f t="shared" si="17"/>
        <v>10.220473817476856</v>
      </c>
      <c r="L88" s="16">
        <f t="shared" si="18"/>
        <v>11.644701337029595</v>
      </c>
      <c r="M88" s="16">
        <f t="shared" si="19"/>
        <v>7.0223701064507198</v>
      </c>
      <c r="N88" s="17">
        <f t="shared" si="20"/>
        <v>4.4199225673011988E-3</v>
      </c>
    </row>
    <row r="89" spans="1:14" x14ac:dyDescent="0.25">
      <c r="A89" s="7">
        <v>44348</v>
      </c>
      <c r="B89" s="4">
        <v>162091.3171797707</v>
      </c>
      <c r="C89" s="9">
        <v>138196.20005051504</v>
      </c>
      <c r="D89" s="9">
        <v>28909.956793160611</v>
      </c>
      <c r="E89" s="14">
        <v>1.2095326697311308</v>
      </c>
      <c r="F89" s="14">
        <f t="shared" si="14"/>
        <v>5.6119658286616636E-3</v>
      </c>
      <c r="G89" s="14">
        <v>139076.59408333903</v>
      </c>
      <c r="H89" s="18">
        <v>6.6938859592828601</v>
      </c>
      <c r="I89" s="16">
        <f t="shared" si="15"/>
        <v>11.99591514169796</v>
      </c>
      <c r="J89" s="16">
        <f t="shared" si="16"/>
        <v>11.836429693921151</v>
      </c>
      <c r="K89" s="16">
        <f t="shared" si="17"/>
        <v>10.271941340480067</v>
      </c>
      <c r="L89" s="16">
        <f t="shared" si="18"/>
        <v>11.652546035276215</v>
      </c>
      <c r="M89" s="16">
        <f t="shared" si="19"/>
        <v>6.6938859592828601</v>
      </c>
      <c r="N89" s="17">
        <f t="shared" si="20"/>
        <v>5.6119658286616636E-3</v>
      </c>
    </row>
    <row r="90" spans="1:14" x14ac:dyDescent="0.25">
      <c r="A90" s="7">
        <v>44440</v>
      </c>
      <c r="B90" s="4">
        <v>167234.54390482276</v>
      </c>
      <c r="C90" s="9">
        <v>144978.02723918561</v>
      </c>
      <c r="D90" s="9">
        <v>27646.538617930539</v>
      </c>
      <c r="E90" s="14">
        <v>1.2345953374898924</v>
      </c>
      <c r="F90" s="14">
        <f t="shared" si="14"/>
        <v>2.0509192793034758E-2</v>
      </c>
      <c r="G90" s="14">
        <v>140690.83234372269</v>
      </c>
      <c r="H90" s="18">
        <v>6.58446793001636</v>
      </c>
      <c r="I90" s="16">
        <f t="shared" si="15"/>
        <v>12.027152560594994</v>
      </c>
      <c r="J90" s="16">
        <f t="shared" si="16"/>
        <v>11.88433747363845</v>
      </c>
      <c r="K90" s="16">
        <f t="shared" si="17"/>
        <v>10.22725581350581</v>
      </c>
      <c r="L90" s="16">
        <f t="shared" si="18"/>
        <v>11.643576829072346</v>
      </c>
      <c r="M90" s="16">
        <f t="shared" si="19"/>
        <v>6.58446793001636</v>
      </c>
      <c r="N90" s="17">
        <f t="shared" si="20"/>
        <v>2.0509192793034758E-2</v>
      </c>
    </row>
    <row r="91" spans="1:14" x14ac:dyDescent="0.25">
      <c r="A91" s="7">
        <v>44531</v>
      </c>
      <c r="B91" s="5">
        <v>176661.28652969183</v>
      </c>
      <c r="C91" s="10">
        <v>154904.3816433411</v>
      </c>
      <c r="D91" s="10">
        <v>28249.72736882278</v>
      </c>
      <c r="E91" s="15">
        <v>1.2447598816989209</v>
      </c>
      <c r="F91" s="15">
        <f t="shared" si="14"/>
        <v>8.1993907747975048E-3</v>
      </c>
      <c r="G91" s="15">
        <v>153712.67503521053</v>
      </c>
      <c r="H91" s="18">
        <v>6.2625900628564199</v>
      </c>
      <c r="I91" s="16">
        <f t="shared" si="15"/>
        <v>12.081989542790957</v>
      </c>
      <c r="J91" s="16">
        <f t="shared" si="16"/>
        <v>11.950563312921233</v>
      </c>
      <c r="K91" s="16">
        <f t="shared" si="17"/>
        <v>10.248839085866878</v>
      </c>
      <c r="L91" s="16">
        <f t="shared" si="18"/>
        <v>11.723897746987856</v>
      </c>
      <c r="M91" s="16">
        <f t="shared" si="19"/>
        <v>6.2625900628564199</v>
      </c>
      <c r="N91" s="17">
        <f t="shared" si="20"/>
        <v>8.1993907747975048E-3</v>
      </c>
    </row>
    <row r="92" spans="1:14" x14ac:dyDescent="0.25">
      <c r="A92" s="7">
        <v>44621</v>
      </c>
      <c r="B92" s="6">
        <v>179473.04466647084</v>
      </c>
      <c r="C92" s="3">
        <v>154730.27675690129</v>
      </c>
      <c r="D92" s="3">
        <v>34844.124816317271</v>
      </c>
      <c r="E92" s="12">
        <v>1.2654434751211974</v>
      </c>
      <c r="F92" s="12">
        <f t="shared" si="14"/>
        <v>1.6479988751061353E-2</v>
      </c>
      <c r="G92" s="12">
        <v>153538.254246831</v>
      </c>
      <c r="H92" s="19">
        <v>6.2124917952225198</v>
      </c>
      <c r="I92" s="16">
        <f t="shared" si="15"/>
        <v>12.097780306644959</v>
      </c>
      <c r="J92" s="16">
        <f t="shared" si="16"/>
        <v>11.949438730126216</v>
      </c>
      <c r="K92" s="16">
        <f t="shared" si="17"/>
        <v>10.458639817079</v>
      </c>
      <c r="L92" s="16">
        <f t="shared" si="18"/>
        <v>11.70628239433392</v>
      </c>
      <c r="M92" s="16">
        <f t="shared" si="19"/>
        <v>6.2124917952225198</v>
      </c>
      <c r="N92" s="17">
        <f t="shared" si="20"/>
        <v>1.6479988751061353E-2</v>
      </c>
    </row>
    <row r="93" spans="1:14" x14ac:dyDescent="0.25">
      <c r="A93" s="7">
        <v>44713</v>
      </c>
      <c r="B93" s="6">
        <v>179537.76753406401</v>
      </c>
      <c r="C93" s="3">
        <v>159866.86262605406</v>
      </c>
      <c r="D93" s="3">
        <v>30982.650700183614</v>
      </c>
      <c r="E93" s="12">
        <v>1.2789211830407896</v>
      </c>
      <c r="F93" s="12">
        <f t="shared" si="14"/>
        <v>1.0594262843437063E-2</v>
      </c>
      <c r="G93" s="12">
        <v>155236.47687778826</v>
      </c>
      <c r="H93" s="19">
        <v>6.1734293522199897</v>
      </c>
      <c r="I93" s="16">
        <f t="shared" si="15"/>
        <v>12.098140868868128</v>
      </c>
      <c r="J93" s="16">
        <f t="shared" si="16"/>
        <v>11.98209663923428</v>
      </c>
      <c r="K93" s="16">
        <f t="shared" si="17"/>
        <v>10.341182671969277</v>
      </c>
      <c r="L93" s="16">
        <f t="shared" si="18"/>
        <v>11.706687993739919</v>
      </c>
      <c r="M93" s="16">
        <f t="shared" si="19"/>
        <v>6.1734293522199897</v>
      </c>
      <c r="N93" s="17">
        <f t="shared" si="20"/>
        <v>1.0594262843437063E-2</v>
      </c>
    </row>
    <row r="94" spans="1:14" x14ac:dyDescent="0.25">
      <c r="A94" s="7">
        <v>44805</v>
      </c>
      <c r="B94" s="6">
        <v>185615.27722573979</v>
      </c>
      <c r="C94" s="3">
        <v>166286.69091675183</v>
      </c>
      <c r="D94" s="3">
        <v>30934.683030766042</v>
      </c>
      <c r="E94" s="12">
        <v>1.3183616526176809</v>
      </c>
      <c r="F94" s="12">
        <f t="shared" si="14"/>
        <v>3.0372896641892799E-2</v>
      </c>
      <c r="G94" s="12">
        <v>158232.15590107109</v>
      </c>
      <c r="H94" s="19">
        <v>5.9249911636397199</v>
      </c>
      <c r="I94" s="16">
        <f t="shared" si="15"/>
        <v>12.131431408585422</v>
      </c>
      <c r="J94" s="16">
        <f t="shared" si="16"/>
        <v>12.021468631411667</v>
      </c>
      <c r="K94" s="16">
        <f t="shared" si="17"/>
        <v>10.339633261614424</v>
      </c>
      <c r="L94" s="16">
        <f t="shared" si="18"/>
        <v>11.695428781282958</v>
      </c>
      <c r="M94" s="16">
        <f t="shared" si="19"/>
        <v>5.9249911636397199</v>
      </c>
      <c r="N94" s="17">
        <f t="shared" si="20"/>
        <v>3.0372896641892799E-2</v>
      </c>
    </row>
    <row r="95" spans="1:14" x14ac:dyDescent="0.25">
      <c r="A95" s="7">
        <v>44896</v>
      </c>
      <c r="B95" s="6">
        <v>196342.55069874789</v>
      </c>
      <c r="C95" s="3">
        <v>174720.36997232243</v>
      </c>
      <c r="D95" s="3">
        <v>26110.578575453223</v>
      </c>
      <c r="E95" s="12">
        <v>1.3377136073799816</v>
      </c>
      <c r="F95" s="12">
        <f t="shared" si="14"/>
        <v>1.4572100041910674E-2</v>
      </c>
      <c r="G95" s="12">
        <v>171197.05240904988</v>
      </c>
      <c r="H95" s="19">
        <v>5.9752748307047403</v>
      </c>
      <c r="I95" s="16">
        <f t="shared" si="15"/>
        <v>12.187616120395436</v>
      </c>
      <c r="J95" s="16">
        <f t="shared" si="16"/>
        <v>12.070942089052018</v>
      </c>
      <c r="K95" s="16">
        <f t="shared" si="17"/>
        <v>10.170095820599453</v>
      </c>
      <c r="L95" s="16">
        <f t="shared" si="18"/>
        <v>11.759608631816072</v>
      </c>
      <c r="M95" s="16">
        <f t="shared" si="19"/>
        <v>5.9752748307047403</v>
      </c>
      <c r="N95" s="17">
        <f t="shared" si="20"/>
        <v>1.4572100041910674E-2</v>
      </c>
    </row>
    <row r="96" spans="1:14" x14ac:dyDescent="0.25">
      <c r="A96" s="7">
        <v>44986</v>
      </c>
      <c r="B96" s="4">
        <v>200812.40101277657</v>
      </c>
      <c r="C96" s="9">
        <v>172616.52939465197</v>
      </c>
      <c r="D96" s="9">
        <v>33217.128082481526</v>
      </c>
      <c r="E96" s="14">
        <v>1.3613747077669451</v>
      </c>
      <c r="F96" s="14">
        <f t="shared" si="14"/>
        <v>1.7533110264842555E-2</v>
      </c>
      <c r="G96" s="14">
        <v>172403.28052123389</v>
      </c>
      <c r="H96" s="18">
        <v>6.0599637042316896</v>
      </c>
      <c r="I96" s="16">
        <f t="shared" si="15"/>
        <v>12.210126422924517</v>
      </c>
      <c r="J96" s="16">
        <f t="shared" si="16"/>
        <v>12.058827820106648</v>
      </c>
      <c r="K96" s="16">
        <f t="shared" si="17"/>
        <v>10.410820927969622</v>
      </c>
      <c r="L96" s="16">
        <f t="shared" si="18"/>
        <v>11.749096661822657</v>
      </c>
      <c r="M96" s="16">
        <f t="shared" si="19"/>
        <v>6.0599637042316896</v>
      </c>
      <c r="N96" s="17">
        <f t="shared" si="20"/>
        <v>1.7533110264842555E-2</v>
      </c>
    </row>
    <row r="97" spans="1:14" x14ac:dyDescent="0.25">
      <c r="A97" s="7">
        <v>45078</v>
      </c>
      <c r="B97" s="4">
        <v>200847.42244952885</v>
      </c>
      <c r="C97" s="9">
        <v>175761.42528330957</v>
      </c>
      <c r="D97" s="9">
        <v>31642.246416226419</v>
      </c>
      <c r="E97" s="14">
        <v>1.3741425886269496</v>
      </c>
      <c r="F97" s="14">
        <f t="shared" si="14"/>
        <v>9.3349609555661295E-3</v>
      </c>
      <c r="G97" s="14">
        <v>176005.35050163409</v>
      </c>
      <c r="H97" s="18">
        <v>6.1199058623345604</v>
      </c>
      <c r="I97" s="16">
        <f t="shared" si="15"/>
        <v>12.210300806493875</v>
      </c>
      <c r="J97" s="16">
        <f t="shared" si="16"/>
        <v>12.076882816284314</v>
      </c>
      <c r="K97" s="16">
        <f t="shared" si="17"/>
        <v>10.362248418609886</v>
      </c>
      <c r="L97" s="16">
        <f t="shared" si="18"/>
        <v>11.760439709426629</v>
      </c>
      <c r="M97" s="16">
        <f t="shared" si="19"/>
        <v>6.1199058623345604</v>
      </c>
      <c r="N97" s="17">
        <f t="shared" si="20"/>
        <v>9.3349609555661295E-3</v>
      </c>
    </row>
    <row r="98" spans="1:14" x14ac:dyDescent="0.25">
      <c r="A98" s="7">
        <v>45170</v>
      </c>
      <c r="B98" s="4">
        <v>203697.60962203299</v>
      </c>
      <c r="C98" s="9">
        <v>179216.82341141137</v>
      </c>
      <c r="D98" s="9">
        <v>34398.295864193053</v>
      </c>
      <c r="E98" s="14">
        <v>1.3908436684975805</v>
      </c>
      <c r="F98" s="14">
        <f t="shared" si="14"/>
        <v>1.2080554064073101E-2</v>
      </c>
      <c r="G98" s="14">
        <v>176375.25281434509</v>
      </c>
      <c r="H98" s="18">
        <v>6.1004131686182701</v>
      </c>
      <c r="I98" s="16">
        <f t="shared" si="15"/>
        <v>12.224391867349937</v>
      </c>
      <c r="J98" s="16">
        <f t="shared" si="16"/>
        <v>12.096351655760492</v>
      </c>
      <c r="K98" s="16">
        <f t="shared" si="17"/>
        <v>10.445762303302804</v>
      </c>
      <c r="L98" s="16">
        <f t="shared" si="18"/>
        <v>11.750458603772019</v>
      </c>
      <c r="M98" s="16">
        <f t="shared" si="19"/>
        <v>6.1004131686182701</v>
      </c>
      <c r="N98" s="17">
        <f t="shared" si="20"/>
        <v>1.2080554064073101E-2</v>
      </c>
    </row>
    <row r="99" spans="1:14" x14ac:dyDescent="0.25">
      <c r="A99" s="7">
        <v>45261</v>
      </c>
      <c r="B99" s="4">
        <v>212696.61610865529</v>
      </c>
      <c r="C99" s="9">
        <v>187342.98590121884</v>
      </c>
      <c r="D99" s="9">
        <v>35231.044706376197</v>
      </c>
      <c r="E99" s="14">
        <v>1.4203912552866682</v>
      </c>
      <c r="F99" s="14">
        <f t="shared" si="14"/>
        <v>2.102184678013741E-2</v>
      </c>
      <c r="G99" s="14">
        <v>185615.3286425253</v>
      </c>
      <c r="H99" s="18">
        <v>6.7384709779992997</v>
      </c>
      <c r="I99" s="16">
        <f t="shared" si="15"/>
        <v>12.267622091840597</v>
      </c>
      <c r="J99" s="16">
        <f t="shared" si="16"/>
        <v>12.140696365043381</v>
      </c>
      <c r="K99" s="16">
        <f t="shared" si="17"/>
        <v>10.469682924780832</v>
      </c>
      <c r="L99" s="16">
        <f t="shared" si="18"/>
        <v>11.780499320039429</v>
      </c>
      <c r="M99" s="16">
        <f t="shared" si="19"/>
        <v>6.7384709779992997</v>
      </c>
      <c r="N99" s="17">
        <f t="shared" si="20"/>
        <v>2.102184678013741E-2</v>
      </c>
    </row>
    <row r="100" spans="1:14" x14ac:dyDescent="0.25">
      <c r="A100" s="7">
        <v>45352</v>
      </c>
      <c r="B100" s="6">
        <v>214952.44687177497</v>
      </c>
      <c r="C100" s="3">
        <v>186317.66903031111</v>
      </c>
      <c r="D100" s="3">
        <v>39113.559237753558</v>
      </c>
      <c r="E100" s="12">
        <v>1.4110676549117138</v>
      </c>
      <c r="F100" s="12">
        <f t="shared" si="14"/>
        <v>-6.5857456309770801E-3</v>
      </c>
      <c r="G100" s="12">
        <v>187389.03539364343</v>
      </c>
      <c r="H100" s="19">
        <v>7.0367946113281352</v>
      </c>
      <c r="I100" s="16">
        <f t="shared" si="15"/>
        <v>12.278172105305902</v>
      </c>
      <c r="J100" s="16">
        <f t="shared" si="16"/>
        <v>12.135208393908426</v>
      </c>
      <c r="K100" s="16">
        <f t="shared" si="17"/>
        <v>10.57422446943219</v>
      </c>
      <c r="L100" s="16">
        <f t="shared" si="18"/>
        <v>11.796595518047038</v>
      </c>
      <c r="M100" s="16">
        <f t="shared" si="19"/>
        <v>7.0367946113281352</v>
      </c>
      <c r="N100" s="17">
        <f t="shared" si="20"/>
        <v>-6.5857456309770801E-3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6199-B439-445F-8390-D3C0DC854BE3}">
  <dimension ref="A1:G78"/>
  <sheetViews>
    <sheetView tabSelected="1" workbookViewId="0">
      <selection activeCell="I21" sqref="I21"/>
    </sheetView>
  </sheetViews>
  <sheetFormatPr baseColWidth="10" defaultRowHeight="15" x14ac:dyDescent="0.25"/>
  <sheetData>
    <row r="1" spans="1:7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15</v>
      </c>
      <c r="B2" s="16">
        <v>10.864712404553901</v>
      </c>
      <c r="C2" s="16">
        <v>10.714104615681</v>
      </c>
      <c r="D2" s="16">
        <v>9.1477442820964807</v>
      </c>
      <c r="E2" s="16">
        <v>10.651713014988699</v>
      </c>
      <c r="F2" s="16">
        <v>11.4386267926123</v>
      </c>
      <c r="G2" s="17">
        <v>2.3732335765140702E-3</v>
      </c>
    </row>
    <row r="3" spans="1:7" x14ac:dyDescent="0.25">
      <c r="A3" t="s">
        <v>16</v>
      </c>
      <c r="B3" s="16">
        <v>10.891821729880499</v>
      </c>
      <c r="C3" s="16">
        <v>10.708522571218699</v>
      </c>
      <c r="D3" s="16">
        <v>9.5068960531168205</v>
      </c>
      <c r="E3" s="16">
        <v>10.677931243892999</v>
      </c>
      <c r="F3" s="16">
        <v>9.9759160506169895</v>
      </c>
      <c r="G3" s="17">
        <v>1.24377333747264E-2</v>
      </c>
    </row>
    <row r="4" spans="1:7" x14ac:dyDescent="0.25">
      <c r="A4" t="s">
        <v>17</v>
      </c>
      <c r="B4" s="16">
        <v>10.894190972987699</v>
      </c>
      <c r="C4" s="16">
        <v>10.7507894868533</v>
      </c>
      <c r="D4" s="16">
        <v>9.2405877585284806</v>
      </c>
      <c r="E4" s="16">
        <v>10.715732194804801</v>
      </c>
      <c r="F4" s="16">
        <v>9.8383061039003703</v>
      </c>
      <c r="G4" s="17">
        <v>6.0187878200586402E-3</v>
      </c>
    </row>
    <row r="5" spans="1:7" x14ac:dyDescent="0.25">
      <c r="A5" t="s">
        <v>18</v>
      </c>
      <c r="B5" s="16">
        <v>10.918510199042499</v>
      </c>
      <c r="C5" s="16">
        <v>10.816103528728901</v>
      </c>
      <c r="D5" s="16">
        <v>9.2485390199560307</v>
      </c>
      <c r="E5" s="16">
        <v>10.7343620119773</v>
      </c>
      <c r="F5" s="16">
        <v>9.1394662518448104</v>
      </c>
      <c r="G5" s="17">
        <v>1.61650946094106E-2</v>
      </c>
    </row>
    <row r="6" spans="1:7" x14ac:dyDescent="0.25">
      <c r="A6" t="s">
        <v>19</v>
      </c>
      <c r="B6" s="16">
        <v>10.9557772451394</v>
      </c>
      <c r="C6" s="16">
        <v>10.855199338814501</v>
      </c>
      <c r="D6" s="16">
        <v>9.3237477168758005</v>
      </c>
      <c r="E6" s="16">
        <v>10.761922473986701</v>
      </c>
      <c r="F6" s="16">
        <v>8.5227227270053003</v>
      </c>
      <c r="G6" s="17">
        <v>1.11773732170322E-2</v>
      </c>
    </row>
    <row r="7" spans="1:7" x14ac:dyDescent="0.25">
      <c r="A7" t="s">
        <v>20</v>
      </c>
      <c r="B7" s="16">
        <v>10.9717989723587</v>
      </c>
      <c r="C7" s="16">
        <v>10.807525267042299</v>
      </c>
      <c r="D7" s="16">
        <v>9.60257885643923</v>
      </c>
      <c r="E7" s="16">
        <v>10.807458129160199</v>
      </c>
      <c r="F7" s="16">
        <v>8.5218014478259203</v>
      </c>
      <c r="G7" s="17">
        <v>1.4341748272921199E-2</v>
      </c>
    </row>
    <row r="8" spans="1:7" x14ac:dyDescent="0.25">
      <c r="A8" t="s">
        <v>21</v>
      </c>
      <c r="B8" s="16">
        <v>11.0037160581291</v>
      </c>
      <c r="C8" s="16">
        <v>10.870744872415001</v>
      </c>
      <c r="D8" s="16">
        <v>9.4196221472624106</v>
      </c>
      <c r="E8" s="16">
        <v>10.837619926364701</v>
      </c>
      <c r="F8" s="16">
        <v>8.4116225461882195</v>
      </c>
      <c r="G8" s="17">
        <v>7.5905743597811E-3</v>
      </c>
    </row>
    <row r="9" spans="1:7" x14ac:dyDescent="0.25">
      <c r="A9" t="s">
        <v>22</v>
      </c>
      <c r="B9" s="16">
        <v>11.037733822251299</v>
      </c>
      <c r="C9" s="16">
        <v>10.8964156738004</v>
      </c>
      <c r="D9" s="16">
        <v>9.4027225559386203</v>
      </c>
      <c r="E9" s="16">
        <v>10.862405843743201</v>
      </c>
      <c r="F9" s="16">
        <v>8.8157027794604303</v>
      </c>
      <c r="G9" s="17">
        <v>1.0303542206595099E-2</v>
      </c>
    </row>
    <row r="10" spans="1:7" x14ac:dyDescent="0.25">
      <c r="A10" t="s">
        <v>23</v>
      </c>
      <c r="B10" s="16">
        <v>11.0772936424425</v>
      </c>
      <c r="C10" s="16">
        <v>10.906634796060301</v>
      </c>
      <c r="D10" s="16">
        <v>9.6394095135220503</v>
      </c>
      <c r="E10" s="16">
        <v>10.902289054522001</v>
      </c>
      <c r="F10" s="16">
        <v>8.5156408375477994</v>
      </c>
      <c r="G10" s="17">
        <v>2.5083062383057301E-2</v>
      </c>
    </row>
    <row r="11" spans="1:7" x14ac:dyDescent="0.25">
      <c r="A11" t="s">
        <v>24</v>
      </c>
      <c r="B11" s="16">
        <v>11.092139030677901</v>
      </c>
      <c r="C11" s="16">
        <v>10.9556802162683</v>
      </c>
      <c r="D11" s="16">
        <v>9.42276575346329</v>
      </c>
      <c r="E11" s="16">
        <v>10.9168949215588</v>
      </c>
      <c r="F11" s="16">
        <v>6.0111753362103997</v>
      </c>
      <c r="G11" s="17">
        <v>7.2885824256551804E-3</v>
      </c>
    </row>
    <row r="12" spans="1:7" x14ac:dyDescent="0.25">
      <c r="A12" t="s">
        <v>25</v>
      </c>
      <c r="B12" s="16">
        <v>11.1326227264656</v>
      </c>
      <c r="C12" s="16">
        <v>10.990332855603</v>
      </c>
      <c r="D12" s="16">
        <v>9.5372737604913702</v>
      </c>
      <c r="E12" s="16">
        <v>10.9403205865221</v>
      </c>
      <c r="F12" s="16">
        <v>7.1727407662764602</v>
      </c>
      <c r="G12" s="17">
        <v>2.3628402635742601E-2</v>
      </c>
    </row>
    <row r="13" spans="1:7" x14ac:dyDescent="0.25">
      <c r="A13" t="s">
        <v>26</v>
      </c>
      <c r="B13" s="16">
        <v>11.1561042393554</v>
      </c>
      <c r="C13" s="16">
        <v>11.017567667180099</v>
      </c>
      <c r="D13" s="16">
        <v>9.5671034617325503</v>
      </c>
      <c r="E13" s="16">
        <v>10.899932785525699</v>
      </c>
      <c r="F13" s="16">
        <v>6.8332386414145097</v>
      </c>
      <c r="G13" s="17">
        <v>2.1151651870548901E-2</v>
      </c>
    </row>
    <row r="14" spans="1:7" x14ac:dyDescent="0.25">
      <c r="A14" t="s">
        <v>27</v>
      </c>
      <c r="B14" s="16">
        <v>11.1899892488173</v>
      </c>
      <c r="C14" s="16">
        <v>11.0770494433187</v>
      </c>
      <c r="D14" s="16">
        <v>9.52715840456389</v>
      </c>
      <c r="E14" s="16">
        <v>10.8731086534181</v>
      </c>
      <c r="F14" s="16">
        <v>7.2293049655593604</v>
      </c>
      <c r="G14" s="17">
        <v>2.62329042153891E-2</v>
      </c>
    </row>
    <row r="15" spans="1:7" x14ac:dyDescent="0.25">
      <c r="A15" t="s">
        <v>28</v>
      </c>
      <c r="B15" s="16">
        <v>11.2427653697643</v>
      </c>
      <c r="C15" s="16">
        <v>11.1554357640346</v>
      </c>
      <c r="D15" s="16">
        <v>9.4335554454607102</v>
      </c>
      <c r="E15" s="16">
        <v>10.8357493783857</v>
      </c>
      <c r="F15" s="16">
        <v>8.3023500624948294</v>
      </c>
      <c r="G15" s="17">
        <v>2.52345135126248E-2</v>
      </c>
    </row>
    <row r="16" spans="1:7" x14ac:dyDescent="0.25">
      <c r="A16" t="s">
        <v>29</v>
      </c>
      <c r="B16" s="16">
        <v>11.2508654133044</v>
      </c>
      <c r="C16" s="16">
        <v>11.1286995285727</v>
      </c>
      <c r="D16" s="16">
        <v>9.4129696841706902</v>
      </c>
      <c r="E16" s="16">
        <v>10.8323804809823</v>
      </c>
      <c r="F16" s="16">
        <v>8.1198500258925304</v>
      </c>
      <c r="G16" s="17">
        <v>2.1552970418596901E-2</v>
      </c>
    </row>
    <row r="17" spans="1:7" x14ac:dyDescent="0.25">
      <c r="A17" t="s">
        <v>30</v>
      </c>
      <c r="B17" s="16">
        <v>11.274097631000201</v>
      </c>
      <c r="C17" s="16">
        <v>11.129573503203799</v>
      </c>
      <c r="D17" s="16">
        <v>9.3451714843543598</v>
      </c>
      <c r="E17" s="16">
        <v>10.868288870252201</v>
      </c>
      <c r="F17" s="16">
        <v>8.2971986481386395</v>
      </c>
      <c r="G17" s="17">
        <v>1.10885297610586E-2</v>
      </c>
    </row>
    <row r="18" spans="1:7" x14ac:dyDescent="0.25">
      <c r="A18" t="s">
        <v>31</v>
      </c>
      <c r="B18" s="16">
        <v>11.2340323462788</v>
      </c>
      <c r="C18" s="16">
        <v>11.095725045685001</v>
      </c>
      <c r="D18" s="16">
        <v>9.2289950216623406</v>
      </c>
      <c r="E18" s="16">
        <v>10.883140422986401</v>
      </c>
      <c r="F18" s="16">
        <v>8.5985571758597299</v>
      </c>
      <c r="G18" s="17">
        <v>-1.6701088500548598E-2</v>
      </c>
    </row>
    <row r="19" spans="1:7" x14ac:dyDescent="0.25">
      <c r="A19" t="s">
        <v>32</v>
      </c>
      <c r="B19" s="16">
        <v>11.252091345517901</v>
      </c>
      <c r="C19" s="16">
        <v>11.097041590148899</v>
      </c>
      <c r="D19" s="16">
        <v>9.0539087067175608</v>
      </c>
      <c r="E19" s="16">
        <v>10.915227523390101</v>
      </c>
      <c r="F19" s="16">
        <v>8.8699126075477004</v>
      </c>
      <c r="G19" s="17">
        <v>-4.4050918862077401E-4</v>
      </c>
    </row>
    <row r="20" spans="1:7" x14ac:dyDescent="0.25">
      <c r="A20" t="s">
        <v>33</v>
      </c>
      <c r="B20" s="16">
        <v>11.2698358063152</v>
      </c>
      <c r="C20" s="16">
        <v>11.0970723294491</v>
      </c>
      <c r="D20" s="16">
        <v>9.2987061022239708</v>
      </c>
      <c r="E20" s="16">
        <v>10.9147121110969</v>
      </c>
      <c r="F20" s="16">
        <v>9.4331967605868901</v>
      </c>
      <c r="G20" s="17">
        <v>5.17707072202514E-3</v>
      </c>
    </row>
    <row r="21" spans="1:7" x14ac:dyDescent="0.25">
      <c r="A21" t="s">
        <v>34</v>
      </c>
      <c r="B21" s="16">
        <v>11.281314183262801</v>
      </c>
      <c r="C21" s="16">
        <v>11.1102333122034</v>
      </c>
      <c r="D21" s="16">
        <v>9.3388687277662896</v>
      </c>
      <c r="E21" s="16">
        <v>10.9269843245247</v>
      </c>
      <c r="F21" s="16">
        <v>9.4775670772116403</v>
      </c>
      <c r="G21" s="17">
        <v>4.4386127398115304E-3</v>
      </c>
    </row>
    <row r="22" spans="1:7" x14ac:dyDescent="0.25">
      <c r="A22" t="s">
        <v>35</v>
      </c>
      <c r="B22" s="16">
        <v>11.3084510149799</v>
      </c>
      <c r="C22" s="16">
        <v>11.144243247464001</v>
      </c>
      <c r="D22" s="16">
        <v>9.3455149879524502</v>
      </c>
      <c r="E22" s="16">
        <v>10.922931272638699</v>
      </c>
      <c r="F22" s="16">
        <v>9.8174225108437998</v>
      </c>
      <c r="G22" s="17">
        <v>2.9974906598379002E-2</v>
      </c>
    </row>
    <row r="23" spans="1:7" x14ac:dyDescent="0.25">
      <c r="A23" t="s">
        <v>36</v>
      </c>
      <c r="B23" s="16">
        <v>11.321007036291601</v>
      </c>
      <c r="C23" s="16">
        <v>11.170377766918699</v>
      </c>
      <c r="D23" s="16">
        <v>9.3196394484549998</v>
      </c>
      <c r="E23" s="16">
        <v>10.924793948492701</v>
      </c>
      <c r="F23" s="16">
        <v>9.9581054602097101</v>
      </c>
      <c r="G23" s="17">
        <v>5.2286867102449702E-3</v>
      </c>
    </row>
    <row r="24" spans="1:7" x14ac:dyDescent="0.25">
      <c r="A24" t="s">
        <v>37</v>
      </c>
      <c r="B24" s="16">
        <v>11.3395263345944</v>
      </c>
      <c r="C24" s="16">
        <v>11.185004750349799</v>
      </c>
      <c r="D24" s="16">
        <v>9.4375972484609107</v>
      </c>
      <c r="E24" s="16">
        <v>10.944859868240099</v>
      </c>
      <c r="F24" s="16">
        <v>10.181083587698399</v>
      </c>
      <c r="G24" s="17">
        <v>1.2284952026465601E-2</v>
      </c>
    </row>
    <row r="25" spans="1:7" x14ac:dyDescent="0.25">
      <c r="A25" t="s">
        <v>38</v>
      </c>
      <c r="B25" s="16">
        <v>11.368594502206699</v>
      </c>
      <c r="C25" s="16">
        <v>11.2098133331729</v>
      </c>
      <c r="D25" s="16">
        <v>9.44939301088821</v>
      </c>
      <c r="E25" s="16">
        <v>10.9585619149553</v>
      </c>
      <c r="F25" s="16">
        <v>10.386981937700201</v>
      </c>
      <c r="G25" s="17">
        <v>8.6772129172412102E-3</v>
      </c>
    </row>
    <row r="26" spans="1:7" x14ac:dyDescent="0.25">
      <c r="A26" t="s">
        <v>39</v>
      </c>
      <c r="B26" s="16">
        <v>11.392441367696501</v>
      </c>
      <c r="C26" s="16">
        <v>11.253633066692</v>
      </c>
      <c r="D26" s="16">
        <v>9.4687186323822203</v>
      </c>
      <c r="E26" s="16">
        <v>10.9517353884694</v>
      </c>
      <c r="F26" s="16">
        <v>10.6634881126139</v>
      </c>
      <c r="G26" s="17">
        <v>2.4235609306501898E-2</v>
      </c>
    </row>
    <row r="27" spans="1:7" x14ac:dyDescent="0.25">
      <c r="A27" t="s">
        <v>40</v>
      </c>
      <c r="B27" s="16">
        <v>11.4196129939833</v>
      </c>
      <c r="C27" s="16">
        <v>11.253464808344001</v>
      </c>
      <c r="D27" s="16">
        <v>9.7896153160918296</v>
      </c>
      <c r="E27" s="16">
        <v>10.974516783695501</v>
      </c>
      <c r="F27" s="16">
        <v>9.9296645266201704</v>
      </c>
      <c r="G27" s="17">
        <v>1.14588228057907E-2</v>
      </c>
    </row>
    <row r="28" spans="1:7" x14ac:dyDescent="0.25">
      <c r="A28" t="s">
        <v>41</v>
      </c>
      <c r="B28" s="16">
        <v>11.449980531974299</v>
      </c>
      <c r="C28" s="16">
        <v>11.3032692304965</v>
      </c>
      <c r="D28" s="16">
        <v>9.5830390680928303</v>
      </c>
      <c r="E28" s="16">
        <v>10.9632962233228</v>
      </c>
      <c r="F28" s="16">
        <v>9.9499630688974605</v>
      </c>
      <c r="G28" s="17">
        <v>1.4157416577299801E-2</v>
      </c>
    </row>
    <row r="29" spans="1:7" x14ac:dyDescent="0.25">
      <c r="A29" t="s">
        <v>42</v>
      </c>
      <c r="B29" s="16">
        <v>11.455780189417201</v>
      </c>
      <c r="C29" s="16">
        <v>11.288115676154</v>
      </c>
      <c r="D29" s="16">
        <v>9.5954461977497605</v>
      </c>
      <c r="E29" s="16">
        <v>10.972630676683799</v>
      </c>
      <c r="F29" s="16">
        <v>9.5185147437559401</v>
      </c>
      <c r="G29" s="17">
        <v>7.4139595510716002E-3</v>
      </c>
    </row>
    <row r="30" spans="1:7" x14ac:dyDescent="0.25">
      <c r="A30" t="s">
        <v>43</v>
      </c>
      <c r="B30" s="16">
        <v>11.466048108772799</v>
      </c>
      <c r="C30" s="16">
        <v>11.344832436972901</v>
      </c>
      <c r="D30" s="16">
        <v>9.5489944460546994</v>
      </c>
      <c r="E30" s="16">
        <v>10.9900832233574</v>
      </c>
      <c r="F30" s="16">
        <v>9.62584743737645</v>
      </c>
      <c r="G30" s="17">
        <v>2.1786040551857399E-3</v>
      </c>
    </row>
    <row r="31" spans="1:7" x14ac:dyDescent="0.25">
      <c r="A31" t="s">
        <v>44</v>
      </c>
      <c r="B31" s="16">
        <v>11.4787313681478</v>
      </c>
      <c r="C31" s="16">
        <v>11.315852257486201</v>
      </c>
      <c r="D31" s="16">
        <v>9.8031331189348005</v>
      </c>
      <c r="E31" s="16">
        <v>10.9834817957643</v>
      </c>
      <c r="F31" s="16">
        <v>9.4728674606703507</v>
      </c>
      <c r="G31" s="17">
        <v>6.8154996981726499E-3</v>
      </c>
    </row>
    <row r="32" spans="1:7" x14ac:dyDescent="0.25">
      <c r="A32" t="s">
        <v>45</v>
      </c>
      <c r="B32" s="16">
        <v>11.489380436192899</v>
      </c>
      <c r="C32" s="16">
        <v>11.330882301947099</v>
      </c>
      <c r="D32" s="16">
        <v>9.6240755174568697</v>
      </c>
      <c r="E32" s="16">
        <v>11.0009570782307</v>
      </c>
      <c r="F32" s="16">
        <v>9.2009356249285403</v>
      </c>
      <c r="G32" s="17">
        <v>3.8100859475084602E-4</v>
      </c>
    </row>
    <row r="33" spans="1:7" x14ac:dyDescent="0.25">
      <c r="A33" t="s">
        <v>46</v>
      </c>
      <c r="B33" s="16">
        <v>11.5139137426555</v>
      </c>
      <c r="C33" s="16">
        <v>11.356628345089099</v>
      </c>
      <c r="D33" s="16">
        <v>9.6597557871612203</v>
      </c>
      <c r="E33" s="16">
        <v>11.028348511441299</v>
      </c>
      <c r="F33" s="16">
        <v>9.0130208133039105</v>
      </c>
      <c r="G33" s="17">
        <v>1.11213559223391E-2</v>
      </c>
    </row>
    <row r="34" spans="1:7" x14ac:dyDescent="0.25">
      <c r="A34" t="s">
        <v>47</v>
      </c>
      <c r="B34" s="16">
        <v>11.5296026069067</v>
      </c>
      <c r="C34" s="16">
        <v>11.3673268843031</v>
      </c>
      <c r="D34" s="16">
        <v>9.7634691111146203</v>
      </c>
      <c r="E34" s="16">
        <v>11.0374922301464</v>
      </c>
      <c r="F34" s="16">
        <v>8.7171306421207309</v>
      </c>
      <c r="G34" s="17">
        <v>1.1610645654735499E-2</v>
      </c>
    </row>
    <row r="35" spans="1:7" x14ac:dyDescent="0.25">
      <c r="A35" t="s">
        <v>48</v>
      </c>
      <c r="B35" s="16">
        <v>11.547330683267599</v>
      </c>
      <c r="C35" s="16">
        <v>11.396410325787301</v>
      </c>
      <c r="D35" s="16">
        <v>9.7104953599104196</v>
      </c>
      <c r="E35" s="16">
        <v>11.0327267057261</v>
      </c>
      <c r="F35" s="16">
        <v>8.9511732304148595</v>
      </c>
      <c r="G35" s="17">
        <v>5.2925538035977701E-3</v>
      </c>
    </row>
    <row r="36" spans="1:7" x14ac:dyDescent="0.25">
      <c r="A36" t="s">
        <v>49</v>
      </c>
      <c r="B36" s="16">
        <v>11.5490361452934</v>
      </c>
      <c r="C36" s="16">
        <v>11.399651555479601</v>
      </c>
      <c r="D36" s="16">
        <v>9.6879747163026604</v>
      </c>
      <c r="E36" s="16">
        <v>11.048634758402899</v>
      </c>
      <c r="F36" s="16">
        <v>8.6239402252868302</v>
      </c>
      <c r="G36" s="17">
        <v>-1.8101115985750601E-3</v>
      </c>
    </row>
    <row r="37" spans="1:7" x14ac:dyDescent="0.25">
      <c r="A37" t="s">
        <v>50</v>
      </c>
      <c r="B37" s="16">
        <v>11.5724686308267</v>
      </c>
      <c r="C37" s="16">
        <v>11.414446237999</v>
      </c>
      <c r="D37" s="16">
        <v>9.6794026949627003</v>
      </c>
      <c r="E37" s="16">
        <v>11.0337298400555</v>
      </c>
      <c r="F37" s="16">
        <v>8.5961665433727301</v>
      </c>
      <c r="G37" s="17">
        <v>1.5768982212717799E-2</v>
      </c>
    </row>
    <row r="38" spans="1:7" x14ac:dyDescent="0.25">
      <c r="A38" t="s">
        <v>51</v>
      </c>
      <c r="B38" s="16">
        <v>11.582316566316001</v>
      </c>
      <c r="C38" s="16">
        <v>11.430481954134001</v>
      </c>
      <c r="D38" s="16">
        <v>9.7539525719203706</v>
      </c>
      <c r="E38" s="16">
        <v>11.0357930562314</v>
      </c>
      <c r="F38" s="16">
        <v>8.8048776894735603</v>
      </c>
      <c r="G38" s="17">
        <v>-4.4938906395544697E-3</v>
      </c>
    </row>
    <row r="39" spans="1:7" x14ac:dyDescent="0.25">
      <c r="A39" t="s">
        <v>52</v>
      </c>
      <c r="B39" s="16">
        <v>11.6168325559076</v>
      </c>
      <c r="C39" s="16">
        <v>11.4664791744372</v>
      </c>
      <c r="D39" s="16">
        <v>9.7347664503370002</v>
      </c>
      <c r="E39" s="16">
        <v>11.051594529409201</v>
      </c>
      <c r="F39" s="16">
        <v>8.6276424133281697</v>
      </c>
      <c r="G39" s="17">
        <v>1.6516570215975301E-2</v>
      </c>
    </row>
    <row r="40" spans="1:7" x14ac:dyDescent="0.25">
      <c r="A40" t="s">
        <v>53</v>
      </c>
      <c r="B40" s="16">
        <v>11.638080265914001</v>
      </c>
      <c r="C40" s="16">
        <v>11.4787846652911</v>
      </c>
      <c r="D40" s="16">
        <v>9.6835555064803902</v>
      </c>
      <c r="E40" s="16">
        <v>11.0561463902922</v>
      </c>
      <c r="F40" s="16">
        <v>8.3563484900908698</v>
      </c>
      <c r="G40" s="17">
        <v>1.5089783354490601E-2</v>
      </c>
    </row>
    <row r="41" spans="1:7" x14ac:dyDescent="0.25">
      <c r="A41" t="s">
        <v>54</v>
      </c>
      <c r="B41" s="16">
        <v>11.6516146543327</v>
      </c>
      <c r="C41" s="16">
        <v>11.4822902888966</v>
      </c>
      <c r="D41" s="16">
        <v>9.7455185701611207</v>
      </c>
      <c r="E41" s="16">
        <v>11.078471984426001</v>
      </c>
      <c r="F41" s="16">
        <v>8.4921251072776194</v>
      </c>
      <c r="G41" s="17">
        <v>1.9393216856626E-3</v>
      </c>
    </row>
    <row r="42" spans="1:7" x14ac:dyDescent="0.25">
      <c r="A42" t="s">
        <v>55</v>
      </c>
      <c r="B42" s="16">
        <v>11.6641600399998</v>
      </c>
      <c r="C42" s="16">
        <v>11.4930477051005</v>
      </c>
      <c r="D42" s="16">
        <v>9.7478826573255901</v>
      </c>
      <c r="E42" s="16">
        <v>11.1243602961577</v>
      </c>
      <c r="F42" s="16">
        <v>7.9622020270866098</v>
      </c>
      <c r="G42" s="17">
        <v>-3.87532879844131E-3</v>
      </c>
    </row>
    <row r="43" spans="1:7" x14ac:dyDescent="0.25">
      <c r="A43" t="s">
        <v>56</v>
      </c>
      <c r="B43" s="16">
        <v>11.676950494833299</v>
      </c>
      <c r="C43" s="16">
        <v>11.5067297067142</v>
      </c>
      <c r="D43" s="16">
        <v>9.7311718436238195</v>
      </c>
      <c r="E43" s="16">
        <v>11.150971035349601</v>
      </c>
      <c r="F43" s="16">
        <v>7.9348529707284303</v>
      </c>
      <c r="G43" s="17">
        <v>1.6872057294270201E-2</v>
      </c>
    </row>
    <row r="44" spans="1:7" x14ac:dyDescent="0.25">
      <c r="A44" t="s">
        <v>57</v>
      </c>
      <c r="B44" s="16">
        <v>11.697065200116899</v>
      </c>
      <c r="C44" s="16">
        <v>11.5285598808277</v>
      </c>
      <c r="D44" s="16">
        <v>9.8378880116547496</v>
      </c>
      <c r="E44" s="16">
        <v>11.1542752245989</v>
      </c>
      <c r="F44" s="16">
        <v>7.9105060738001196</v>
      </c>
      <c r="G44" s="17">
        <v>3.16804967050409E-4</v>
      </c>
    </row>
    <row r="45" spans="1:7" x14ac:dyDescent="0.25">
      <c r="A45" t="s">
        <v>58</v>
      </c>
      <c r="B45" s="16">
        <v>11.700687363778499</v>
      </c>
      <c r="C45" s="16">
        <v>11.540232395569801</v>
      </c>
      <c r="D45" s="16">
        <v>9.7898166778939402</v>
      </c>
      <c r="E45" s="16">
        <v>11.1615656657762</v>
      </c>
      <c r="F45" s="16">
        <v>8.0156151062728807</v>
      </c>
      <c r="G45" s="17">
        <v>3.2339655364498E-4</v>
      </c>
    </row>
    <row r="46" spans="1:7" x14ac:dyDescent="0.25">
      <c r="A46" t="s">
        <v>59</v>
      </c>
      <c r="B46" s="16">
        <v>11.7156162960621</v>
      </c>
      <c r="C46" s="16">
        <v>11.553709366957399</v>
      </c>
      <c r="D46" s="16">
        <v>9.6946619098765705</v>
      </c>
      <c r="E46" s="16">
        <v>11.1638830482397</v>
      </c>
      <c r="F46" s="16">
        <v>8.0507333729971808</v>
      </c>
      <c r="G46" s="17">
        <v>1.6418002936128599E-2</v>
      </c>
    </row>
    <row r="47" spans="1:7" x14ac:dyDescent="0.25">
      <c r="A47" t="s">
        <v>60</v>
      </c>
      <c r="B47" s="16">
        <v>11.7376503088625</v>
      </c>
      <c r="C47" s="16">
        <v>11.5687544216379</v>
      </c>
      <c r="D47" s="16">
        <v>9.8198126763247195</v>
      </c>
      <c r="E47" s="16">
        <v>11.170484405262901</v>
      </c>
      <c r="F47" s="16">
        <v>8.1432743776864402</v>
      </c>
      <c r="G47" s="17">
        <v>2.6020109412017698E-3</v>
      </c>
    </row>
    <row r="48" spans="1:7" x14ac:dyDescent="0.25">
      <c r="A48" t="s">
        <v>61</v>
      </c>
      <c r="B48" s="16">
        <v>11.746359307562599</v>
      </c>
      <c r="C48" s="16">
        <v>11.5788043032482</v>
      </c>
      <c r="D48" s="16">
        <v>9.7373452486254202</v>
      </c>
      <c r="E48" s="16">
        <v>11.1825787044216</v>
      </c>
      <c r="F48" s="16">
        <v>8.4442917410716198</v>
      </c>
      <c r="G48" s="17">
        <v>7.4007280270690697E-3</v>
      </c>
    </row>
    <row r="49" spans="1:7" x14ac:dyDescent="0.25">
      <c r="A49" t="s">
        <v>62</v>
      </c>
      <c r="B49" s="16">
        <v>11.7587895441282</v>
      </c>
      <c r="C49" s="16">
        <v>11.5872009082538</v>
      </c>
      <c r="D49" s="16">
        <v>9.8045351123741007</v>
      </c>
      <c r="E49" s="16">
        <v>11.1934407556745</v>
      </c>
      <c r="F49" s="16">
        <v>8.1198893980442204</v>
      </c>
      <c r="G49" s="17">
        <v>7.1819585178023495E-5</v>
      </c>
    </row>
    <row r="50" spans="1:7" x14ac:dyDescent="0.25">
      <c r="A50" t="s">
        <v>63</v>
      </c>
      <c r="B50" s="16">
        <v>11.777233034409701</v>
      </c>
      <c r="C50" s="16">
        <v>11.6035728629522</v>
      </c>
      <c r="D50" s="16">
        <v>9.8017403887814307</v>
      </c>
      <c r="E50" s="16">
        <v>11.193777985801299</v>
      </c>
      <c r="F50" s="16">
        <v>8.0612589845576004</v>
      </c>
      <c r="G50" s="17">
        <v>6.4394480623583498E-3</v>
      </c>
    </row>
    <row r="51" spans="1:7" x14ac:dyDescent="0.25">
      <c r="A51" t="s">
        <v>64</v>
      </c>
      <c r="B51" s="16">
        <v>11.7784998640055</v>
      </c>
      <c r="C51" s="16">
        <v>11.6115414001064</v>
      </c>
      <c r="D51" s="16">
        <v>9.7356605732790307</v>
      </c>
      <c r="E51" s="16">
        <v>11.241078276562</v>
      </c>
      <c r="F51" s="16">
        <v>7.7616158648946803</v>
      </c>
      <c r="G51" s="17">
        <v>5.46733885347681E-4</v>
      </c>
    </row>
    <row r="52" spans="1:7" x14ac:dyDescent="0.25">
      <c r="A52" t="s">
        <v>65</v>
      </c>
      <c r="B52" s="16">
        <v>11.796569900832999</v>
      </c>
      <c r="C52" s="16">
        <v>11.630017799745801</v>
      </c>
      <c r="D52" s="16">
        <v>9.7981457057353598</v>
      </c>
      <c r="E52" s="16">
        <v>11.2509345224043</v>
      </c>
      <c r="F52" s="16">
        <v>7.6847501404503404</v>
      </c>
      <c r="G52" s="17">
        <v>7.2479700914148898E-3</v>
      </c>
    </row>
    <row r="53" spans="1:7" x14ac:dyDescent="0.25">
      <c r="A53" t="s">
        <v>66</v>
      </c>
      <c r="B53" s="16">
        <v>11.8057570986188</v>
      </c>
      <c r="C53" s="16">
        <v>11.643682347047401</v>
      </c>
      <c r="D53" s="16">
        <v>9.8203586252976205</v>
      </c>
      <c r="E53" s="16">
        <v>11.263696113131299</v>
      </c>
      <c r="F53" s="16">
        <v>8.1327117639605504</v>
      </c>
      <c r="G53" s="17">
        <v>9.8687373301071003E-3</v>
      </c>
    </row>
    <row r="54" spans="1:7" x14ac:dyDescent="0.25">
      <c r="A54" t="s">
        <v>67</v>
      </c>
      <c r="B54" s="16">
        <v>11.819026104401001</v>
      </c>
      <c r="C54" s="16">
        <v>11.652477867639099</v>
      </c>
      <c r="D54" s="16">
        <v>9.8375756393816296</v>
      </c>
      <c r="E54" s="16">
        <v>11.2944880522122</v>
      </c>
      <c r="F54" s="16">
        <v>8.4581272239495604</v>
      </c>
      <c r="G54" s="17">
        <v>-4.1928675430649804E-3</v>
      </c>
    </row>
    <row r="55" spans="1:7" x14ac:dyDescent="0.25">
      <c r="A55" t="s">
        <v>68</v>
      </c>
      <c r="B55" s="16">
        <v>11.8294991545814</v>
      </c>
      <c r="C55" s="16">
        <v>11.6744996025778</v>
      </c>
      <c r="D55" s="16">
        <v>9.9172536256040598</v>
      </c>
      <c r="E55" s="16">
        <v>11.292096254695201</v>
      </c>
      <c r="F55" s="16">
        <v>8.1850943413935102</v>
      </c>
      <c r="G55" s="17">
        <v>-2.1941322134166499E-3</v>
      </c>
    </row>
    <row r="56" spans="1:7" x14ac:dyDescent="0.25">
      <c r="A56" t="s">
        <v>69</v>
      </c>
      <c r="B56" s="16">
        <v>11.836858920742699</v>
      </c>
      <c r="C56" s="16">
        <v>11.691988488690599</v>
      </c>
      <c r="D56" s="16">
        <v>9.8320802241867291</v>
      </c>
      <c r="E56" s="16">
        <v>11.3090757066704</v>
      </c>
      <c r="F56" s="16">
        <v>7.9486031310506702</v>
      </c>
      <c r="G56" s="17">
        <v>8.4927527706649495E-3</v>
      </c>
    </row>
    <row r="57" spans="1:7" x14ac:dyDescent="0.25">
      <c r="A57" t="s">
        <v>70</v>
      </c>
      <c r="B57" s="16">
        <v>11.8429043776088</v>
      </c>
      <c r="C57" s="16">
        <v>11.7001380554861</v>
      </c>
      <c r="D57" s="16">
        <v>9.8090992239194694</v>
      </c>
      <c r="E57" s="16">
        <v>11.333475445488</v>
      </c>
      <c r="F57" s="16">
        <v>7.9625147517939201</v>
      </c>
      <c r="G57" s="17">
        <v>1.28548825390332E-2</v>
      </c>
    </row>
    <row r="58" spans="1:7" x14ac:dyDescent="0.25">
      <c r="A58" t="s">
        <v>71</v>
      </c>
      <c r="B58" s="16">
        <v>11.8706488043854</v>
      </c>
      <c r="C58" s="16">
        <v>11.721418842753399</v>
      </c>
      <c r="D58" s="16">
        <v>9.9149168674121704</v>
      </c>
      <c r="E58" s="16">
        <v>11.355474246373999</v>
      </c>
      <c r="F58" s="16">
        <v>8.2644448843795608</v>
      </c>
      <c r="G58" s="17">
        <v>1.60277969626781E-3</v>
      </c>
    </row>
    <row r="59" spans="1:7" x14ac:dyDescent="0.25">
      <c r="A59" t="s">
        <v>72</v>
      </c>
      <c r="B59" s="16">
        <v>11.9103374140723</v>
      </c>
      <c r="C59" s="16">
        <v>11.7466630814654</v>
      </c>
      <c r="D59" s="16">
        <v>9.9788849103370705</v>
      </c>
      <c r="E59" s="16">
        <v>11.3731165851004</v>
      </c>
      <c r="F59" s="16">
        <v>8.6426023274051396</v>
      </c>
      <c r="G59" s="17">
        <v>1.5631622209557799E-2</v>
      </c>
    </row>
    <row r="60" spans="1:7" x14ac:dyDescent="0.25">
      <c r="A60" t="s">
        <v>73</v>
      </c>
      <c r="B60" s="16">
        <v>11.9166886685933</v>
      </c>
      <c r="C60" s="16">
        <v>11.7536088069577</v>
      </c>
      <c r="D60" s="16">
        <v>9.9615614634151708</v>
      </c>
      <c r="E60" s="16">
        <v>11.3875577904048</v>
      </c>
      <c r="F60" s="16">
        <v>11.778561300443499</v>
      </c>
      <c r="G60" s="17">
        <v>8.6977724703065397E-3</v>
      </c>
    </row>
    <row r="61" spans="1:7" x14ac:dyDescent="0.25">
      <c r="A61" t="s">
        <v>74</v>
      </c>
      <c r="B61" s="16">
        <v>11.931525263196299</v>
      </c>
      <c r="C61" s="16">
        <v>11.7585301294184</v>
      </c>
      <c r="D61" s="16">
        <v>10.009197030341699</v>
      </c>
      <c r="E61" s="16">
        <v>11.4130198540789</v>
      </c>
      <c r="F61" s="16">
        <v>10.078189096048201</v>
      </c>
      <c r="G61" s="17">
        <v>1.5833359603442902E-2</v>
      </c>
    </row>
    <row r="62" spans="1:7" x14ac:dyDescent="0.25">
      <c r="A62" t="s">
        <v>75</v>
      </c>
      <c r="B62" s="16">
        <v>11.9217465201798</v>
      </c>
      <c r="C62" s="16">
        <v>11.739818055374799</v>
      </c>
      <c r="D62" s="16">
        <v>9.9761646548259897</v>
      </c>
      <c r="E62" s="16">
        <v>11.4565298392132</v>
      </c>
      <c r="F62" s="16">
        <v>9.4227320048488199</v>
      </c>
      <c r="G62" s="17">
        <v>-5.0660972312838899E-3</v>
      </c>
    </row>
    <row r="63" spans="1:7" x14ac:dyDescent="0.25">
      <c r="A63" t="s">
        <v>76</v>
      </c>
      <c r="B63" s="16">
        <v>11.839994629740699</v>
      </c>
      <c r="C63" s="16">
        <v>11.6574310395258</v>
      </c>
      <c r="D63" s="16">
        <v>9.7733480778456094</v>
      </c>
      <c r="E63" s="16">
        <v>11.5235303452009</v>
      </c>
      <c r="F63" s="16">
        <v>9.7473076181287599</v>
      </c>
      <c r="G63" s="17">
        <v>1.33786455073268E-2</v>
      </c>
    </row>
    <row r="64" spans="1:7" x14ac:dyDescent="0.25">
      <c r="A64" t="s">
        <v>77</v>
      </c>
      <c r="B64" s="16">
        <v>11.9361852545929</v>
      </c>
      <c r="C64" s="16">
        <v>11.754826643414599</v>
      </c>
      <c r="D64" s="16">
        <v>9.86079959273534</v>
      </c>
      <c r="E64" s="16">
        <v>11.597043111980099</v>
      </c>
      <c r="F64" s="16">
        <v>9.7537709178689198</v>
      </c>
      <c r="G64" s="17">
        <v>6.9600445852433697E-3</v>
      </c>
    </row>
    <row r="65" spans="1:7" x14ac:dyDescent="0.25">
      <c r="A65" t="s">
        <v>78</v>
      </c>
      <c r="B65" s="16">
        <v>11.9720102358133</v>
      </c>
      <c r="C65" s="16">
        <v>11.7885203790932</v>
      </c>
      <c r="D65" s="16">
        <v>10.008271082605299</v>
      </c>
      <c r="E65" s="16">
        <v>11.6223674285422</v>
      </c>
      <c r="F65" s="16">
        <v>7.3777546095976501</v>
      </c>
      <c r="G65" s="17">
        <v>-3.5636826553671E-4</v>
      </c>
    </row>
    <row r="66" spans="1:7" x14ac:dyDescent="0.25">
      <c r="A66" t="s">
        <v>79</v>
      </c>
      <c r="B66" s="16">
        <v>11.991828622525899</v>
      </c>
      <c r="C66" s="16">
        <v>11.838347447048401</v>
      </c>
      <c r="D66" s="16">
        <v>10.1014002681432</v>
      </c>
      <c r="E66" s="16">
        <v>11.637145518058</v>
      </c>
      <c r="F66" s="16">
        <v>7.1896162031738298</v>
      </c>
      <c r="G66" s="17">
        <v>9.69017122144053E-3</v>
      </c>
    </row>
    <row r="67" spans="1:7" x14ac:dyDescent="0.25">
      <c r="A67" t="s">
        <v>80</v>
      </c>
      <c r="B67" s="16">
        <v>12.0198453825572</v>
      </c>
      <c r="C67" s="16">
        <v>11.8577697554417</v>
      </c>
      <c r="D67" s="16">
        <v>10.292165063545401</v>
      </c>
      <c r="E67" s="16">
        <v>11.653968632296801</v>
      </c>
      <c r="F67" s="16">
        <v>6.5575952830529598</v>
      </c>
      <c r="G67" s="17">
        <v>9.2519048797694101E-3</v>
      </c>
    </row>
    <row r="68" spans="1:7" x14ac:dyDescent="0.25">
      <c r="A68" t="s">
        <v>81</v>
      </c>
      <c r="B68" s="16">
        <v>12.045684642679801</v>
      </c>
      <c r="C68" s="16">
        <v>11.8853638349226</v>
      </c>
      <c r="D68" s="16">
        <v>10.290180842508301</v>
      </c>
      <c r="E68" s="16">
        <v>11.6663274761239</v>
      </c>
      <c r="F68" s="16">
        <v>6.42072563259583</v>
      </c>
      <c r="G68" s="17">
        <v>1.02307986645102E-2</v>
      </c>
    </row>
    <row r="69" spans="1:7" x14ac:dyDescent="0.25">
      <c r="A69" t="s">
        <v>82</v>
      </c>
      <c r="B69" s="16">
        <v>12.053451524282901</v>
      </c>
      <c r="C69" s="16">
        <v>11.919877783772399</v>
      </c>
      <c r="D69" s="16">
        <v>10.285193956869399</v>
      </c>
      <c r="E69" s="16">
        <v>11.692213348303801</v>
      </c>
      <c r="F69" s="16">
        <v>6.4163483647295401</v>
      </c>
      <c r="G69" s="17">
        <v>1.1109642790174901E-2</v>
      </c>
    </row>
    <row r="70" spans="1:7" x14ac:dyDescent="0.25">
      <c r="A70" t="s">
        <v>83</v>
      </c>
      <c r="B70" s="16">
        <v>12.0912759960617</v>
      </c>
      <c r="C70" s="16">
        <v>11.9565800501154</v>
      </c>
      <c r="D70" s="16">
        <v>10.3494953034979</v>
      </c>
      <c r="E70" s="16">
        <v>11.7075853410424</v>
      </c>
      <c r="F70" s="16">
        <v>6.3094358158521198</v>
      </c>
      <c r="G70" s="17">
        <v>1.9521084020203101E-2</v>
      </c>
    </row>
    <row r="71" spans="1:7" x14ac:dyDescent="0.25">
      <c r="A71" t="s">
        <v>84</v>
      </c>
      <c r="B71" s="16">
        <v>12.119336038477201</v>
      </c>
      <c r="C71" s="16">
        <v>11.9975917052895</v>
      </c>
      <c r="D71" s="16">
        <v>10.3594542229011</v>
      </c>
      <c r="E71" s="16">
        <v>11.7139520866412</v>
      </c>
      <c r="F71" s="16">
        <v>6.0454848357928697</v>
      </c>
      <c r="G71" s="17">
        <v>1.41172349071807E-2</v>
      </c>
    </row>
    <row r="72" spans="1:7" x14ac:dyDescent="0.25">
      <c r="A72" t="s">
        <v>85</v>
      </c>
      <c r="B72" s="16">
        <v>12.1450085193708</v>
      </c>
      <c r="C72" s="16">
        <v>12.0254903626175</v>
      </c>
      <c r="D72" s="16">
        <v>10.3877343693987</v>
      </c>
      <c r="E72" s="16">
        <v>11.726173441828299</v>
      </c>
      <c r="F72" s="16">
        <v>5.8498892899334196</v>
      </c>
      <c r="G72" s="17">
        <v>2.1289879032762301E-2</v>
      </c>
    </row>
    <row r="73" spans="1:7" x14ac:dyDescent="0.25">
      <c r="A73" t="s">
        <v>86</v>
      </c>
      <c r="B73" s="16">
        <v>12.1655018928983</v>
      </c>
      <c r="C73" s="16">
        <v>12.041444575274699</v>
      </c>
      <c r="D73" s="16">
        <v>10.209466519047099</v>
      </c>
      <c r="E73" s="16">
        <v>11.732455454548001</v>
      </c>
      <c r="F73" s="16">
        <v>6.0944380564265401</v>
      </c>
      <c r="G73" s="17">
        <v>1.8008965107052102E-2</v>
      </c>
    </row>
    <row r="74" spans="1:7" x14ac:dyDescent="0.25">
      <c r="A74" t="s">
        <v>87</v>
      </c>
      <c r="B74" s="16">
        <v>12.2001371548295</v>
      </c>
      <c r="C74" s="16">
        <v>12.065369044503599</v>
      </c>
      <c r="D74" s="16">
        <v>10.309901854461399</v>
      </c>
      <c r="E74" s="16">
        <v>11.7472184813937</v>
      </c>
      <c r="F74" s="16">
        <v>6.1185105806679703</v>
      </c>
      <c r="G74" s="17">
        <v>1.9090850488124301E-2</v>
      </c>
    </row>
    <row r="75" spans="1:7" x14ac:dyDescent="0.25">
      <c r="A75" t="s">
        <v>88</v>
      </c>
      <c r="B75" s="16">
        <v>12.2292659333761</v>
      </c>
      <c r="C75" s="16">
        <v>12.097444795676401</v>
      </c>
      <c r="D75" s="16">
        <v>10.375151339199499</v>
      </c>
      <c r="E75" s="16">
        <v>11.7641590277149</v>
      </c>
      <c r="F75" s="16">
        <v>6.0033558510829099</v>
      </c>
      <c r="G75" s="17">
        <v>1.3229772074284499E-2</v>
      </c>
    </row>
    <row r="76" spans="1:7" x14ac:dyDescent="0.25">
      <c r="A76" t="s">
        <v>89</v>
      </c>
      <c r="B76" s="16">
        <v>12.2342738139196</v>
      </c>
      <c r="C76" s="16">
        <v>12.1052368750277</v>
      </c>
      <c r="D76" s="16">
        <v>10.4907381300439</v>
      </c>
      <c r="E76" s="16">
        <v>11.7763082434982</v>
      </c>
      <c r="F76" s="16">
        <v>6.07289207627307</v>
      </c>
      <c r="G76" s="17">
        <v>3.2691209725981001E-3</v>
      </c>
    </row>
    <row r="77" spans="1:7" x14ac:dyDescent="0.25">
      <c r="A77" t="s">
        <v>90</v>
      </c>
      <c r="B77" s="16">
        <v>12.2471104293249</v>
      </c>
      <c r="C77" s="16">
        <v>12.1125214793197</v>
      </c>
      <c r="D77" s="16">
        <v>10.5153233890453</v>
      </c>
      <c r="E77" s="16">
        <v>11.7524855490076</v>
      </c>
      <c r="F77" s="16">
        <v>6.8434356829827401</v>
      </c>
      <c r="G77" s="17">
        <v>2.4633082206875202E-2</v>
      </c>
    </row>
    <row r="78" spans="1:7" x14ac:dyDescent="0.25">
      <c r="A78" t="s">
        <v>91</v>
      </c>
      <c r="B78" s="16">
        <v>12.2691453804667</v>
      </c>
      <c r="C78" s="16">
        <v>12.1447355726447</v>
      </c>
      <c r="D78" s="16">
        <v>10.4728076014965</v>
      </c>
      <c r="E78" s="16">
        <v>11.796868222027699</v>
      </c>
      <c r="F78" s="16">
        <v>7.0805710761035803</v>
      </c>
      <c r="G78" s="17">
        <v>-5.7378274869952896E-3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 Data</vt:lpstr>
      <vt:lpstr>Data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Hugo Ramírez Hunter</dc:creator>
  <cp:lastModifiedBy>Víctor Hugo Ramírez Hunter</cp:lastModifiedBy>
  <dcterms:created xsi:type="dcterms:W3CDTF">2024-08-21T20:36:21Z</dcterms:created>
  <dcterms:modified xsi:type="dcterms:W3CDTF">2024-08-21T22:06:26Z</dcterms:modified>
</cp:coreProperties>
</file>